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ent\Downloads\da\archive\"/>
    </mc:Choice>
  </mc:AlternateContent>
  <xr:revisionPtr revIDLastSave="0" documentId="13_ncr:1_{433E1E41-B92A-4B6A-A61D-61871A7FEB12}" xr6:coauthVersionLast="47" xr6:coauthVersionMax="47" xr10:uidLastSave="{00000000-0000-0000-0000-000000000000}"/>
  <bookViews>
    <workbookView xWindow="-120" yWindow="-120" windowWidth="20730" windowHeight="11760" xr2:uid="{6E191C56-7F88-4DDF-9A73-D74DFD706F95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</calcChain>
</file>

<file path=xl/sharedStrings.xml><?xml version="1.0" encoding="utf-8"?>
<sst xmlns="http://schemas.openxmlformats.org/spreadsheetml/2006/main" count="7015" uniqueCount="55">
  <si>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</si>
  <si>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</si>
  <si>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</si>
  <si>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</si>
  <si>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</si>
  <si>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</si>
  <si>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</si>
  <si>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</si>
  <si>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</si>
  <si>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</si>
  <si>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</si>
  <si>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</si>
  <si>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</si>
  <si>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</si>
  <si>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</si>
  <si>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</si>
  <si>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</si>
  <si>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</si>
  <si>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</si>
  <si>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</si>
  <si>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</si>
  <si>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</si>
  <si>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</si>
  <si>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</si>
  <si>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</si>
  <si>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</si>
  <si>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</si>
  <si>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</si>
  <si>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</si>
  <si>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</si>
  <si>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</si>
  <si>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</si>
  <si>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</si>
  <si>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</si>
  <si>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</si>
  <si>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</si>
  <si>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</si>
  <si>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</si>
  <si>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</si>
  <si>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</si>
  <si>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</si>
  <si>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</si>
  <si>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</si>
  <si>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</si>
  <si>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</si>
  <si>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</si>
  <si>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</si>
  <si>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</si>
  <si>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</si>
  <si>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</si>
  <si>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</si>
  <si>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</si>
  <si>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</si>
  <si>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</si>
  <si>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 xml:space="preserve">profit per item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</si>
</sst>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2" formatCode="0.00"/>
    </dxf>
    <dxf>
      <numFmt numFmtId="1" formatCode="0"/>
    </dxf>
    <dxf>
      <numFmt numFmtId="2" formatCode="0.00"/>
    </dxf>
    <dxf>
      <numFmt numFmtId="19" formatCode="m/d/yyyy"/>
    </dxf>
    <dxf>
      <numFmt numFmtId="1" formatCode="0"/>
    </dxf>
    <dxf>
      <numFmt numFmtId="2" formatCode="0.00"/>
    </dxf>
    <dxf>
      <numFmt numFmtId="0" formatCode="General"/>
    </dxf>
    <dxf>
      <numFmt numFmtId="2" formatCode="0.00"/>
    </dxf>
    <dxf>
      <numFmt numFmtId="1" formatCode="0"/>
    </dxf>
    <dxf>
      <numFmt numFmtId="19" formatCode="m/d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44947-9ADA-49C9-8DC8-0DF90B1527F6}" name="Table1" displayName="Table1" ref="A1:O1002" totalsRowCount="1">
  <autoFilter ref="A1:O1001" xr:uid="{E7E44947-9ADA-49C9-8DC8-0DF90B1527F6}"/>
  <tableColumns count="15">
    <tableColumn id="1" xr3:uid="{F711B6E4-6BD5-494D-9B3B-58E49554EF05}" name="Product_ID" dataDxfId="13" totalsRowDxfId="7"/>
    <tableColumn id="2" xr3:uid="{9FE875F4-EDE8-4113-BBE0-3CA3CB9437AB}" name="Sale_Date" dataDxfId="12" totalsRowDxfId="6"/>
    <tableColumn id="3" xr3:uid="{77FA71CD-45F0-4A8A-8508-AAFFDE0E3CD4}" name="Sales_Rep"/>
    <tableColumn id="4" xr3:uid="{F82043B6-F911-4539-972D-92AA747A5D29}" name="Region"/>
    <tableColumn id="5" xr3:uid="{66A648D4-CEDF-4703-BE75-CFE87114646E}" name="Sales_Amount" dataDxfId="8" totalsRowDxfId="5">
      <calculatedColumnFormula>Table1[[#This Row],[Quantity_Sold]] * Table1[[#This Row],[Unit_Price]] * (1 - (Table1[[#This Row],[Discount]] / 100))</calculatedColumnFormula>
    </tableColumn>
    <tableColumn id="15" xr3:uid="{9930D2EA-08B6-425E-99D3-A45156C61E02}" name="profit per item " dataDxfId="1" totalsRowDxfId="0">
      <calculatedColumnFormula>Table1[[#This Row],[Quantity_Sold]] * ((Table1[[#This Row],[Unit_Price]] * (1 - (Table1[[#This Row],[Discount]] / 100))) - Table1[[#This Row],[Unit_Cost]])</calculatedColumnFormula>
    </tableColumn>
    <tableColumn id="6" xr3:uid="{49DE41AA-963B-4EBA-A83C-C3274C4AE374}" name="Quantity_Sold" dataDxfId="11" totalsRowDxfId="4"/>
    <tableColumn id="7" xr3:uid="{476DE355-DB3F-44D1-8775-367C05BF18A2}" name="Product_Category"/>
    <tableColumn id="8" xr3:uid="{51C24E4C-7E12-4BB9-A01B-0D409C35E040}" name="Unit_Cost"/>
    <tableColumn id="9" xr3:uid="{A5B2AAE6-F77F-43F3-8F5C-488CDB352542}" name="Unit_Price" dataDxfId="10" totalsRowDxfId="3"/>
    <tableColumn id="10" xr3:uid="{CF30B566-F117-480D-A860-E3633D5BA9EE}" name="Customer_Type"/>
    <tableColumn id="11" xr3:uid="{94D07E9A-7B6B-4D96-A3A7-6C0857AC214F}" name="Discount" dataDxfId="9" totalsRowDxfId="2" dataCellStyle="Percent" totalsRowCellStyle="Percent"/>
    <tableColumn id="12" xr3:uid="{C9EADFF9-B890-465B-ABD6-6A124FE8BD83}" name="Payment_Method"/>
    <tableColumn id="13" xr3:uid="{C69348CF-3E56-4E15-8C9D-CB6C7F9D9751}" name="Sales_Channel"/>
    <tableColumn id="14" xr3:uid="{3DFF22E9-500A-4CC1-8461-3E3F9CA5F5BE}" name="Region_and_Sales_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A323-E2F4-4B9E-A7D6-E0F8C0372CEB}">
  <dimension ref="A1:O1002"/>
  <sheetViews>
    <sheetView tabSelected="1" topLeftCell="A985" zoomScale="130" zoomScaleNormal="130" workbookViewId="0">
      <selection activeCell="F1002" sqref="F1002"/>
    </sheetView>
  </sheetViews>
  <sheetFormatPr defaultRowHeight="15" x14ac:dyDescent="0.25"/>
  <cols>
    <col min="1" max="1" width="13" style="3" customWidth="1"/>
    <col min="2" max="2" width="12.140625" style="1" customWidth="1"/>
    <col min="3" max="3" width="12.42578125" customWidth="1"/>
    <col min="4" max="4" width="9.42578125" customWidth="1"/>
    <col min="5" max="6" width="15.85546875" style="2" customWidth="1"/>
    <col min="7" max="7" width="15.7109375" style="3" customWidth="1"/>
    <col min="8" max="8" width="19.140625" customWidth="1"/>
    <col min="9" max="9" width="12" customWidth="1"/>
    <col min="10" max="10" width="12.28515625" style="2" customWidth="1"/>
    <col min="11" max="11" width="17.28515625" customWidth="1"/>
    <col min="12" max="12" width="11.28515625" customWidth="1"/>
    <col min="13" max="13" width="18.7109375" customWidth="1"/>
    <col min="14" max="14" width="16.42578125" customWidth="1"/>
    <col min="15" max="15" width="23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54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3">
        <v>1052</v>
      </c>
      <c r="B2" s="1">
        <v>44960</v>
      </c>
      <c r="C2" t="s">
        <v>14</v>
      </c>
      <c r="D2" t="s">
        <v>15</v>
      </c>
      <c r="E2" s="2">
        <f>Table1[[#This Row],[Quantity_Sold]] * Table1[[#This Row],[Unit_Price]] * (1 - (Table1[[#This Row],[Discount]] / 100))</f>
        <v>4805.6310360000007</v>
      </c>
      <c r="F2" s="2">
        <f>Table1[[#This Row],[Quantity_Sold]] * ((Table1[[#This Row],[Unit_Price]] * (1 - (Table1[[#This Row],[Discount]] / 100))) - Table1[[#This Row],[Unit_Cost]])</f>
        <v>2056.1310360000007</v>
      </c>
      <c r="G2" s="3">
        <v>18</v>
      </c>
      <c r="H2" t="s">
        <v>16</v>
      </c>
      <c r="I2">
        <v>152.75</v>
      </c>
      <c r="J2" s="2">
        <v>267.22000000000003</v>
      </c>
      <c r="K2" t="s">
        <v>17</v>
      </c>
      <c r="L2" s="4">
        <v>0.09</v>
      </c>
      <c r="M2" t="s">
        <v>18</v>
      </c>
      <c r="N2" t="s">
        <v>19</v>
      </c>
      <c r="O2" t="s">
        <v>20</v>
      </c>
    </row>
    <row r="3" spans="1:15" x14ac:dyDescent="0.25">
      <c r="A3" s="3">
        <v>1093</v>
      </c>
      <c r="B3" s="1">
        <v>45037</v>
      </c>
      <c r="C3" t="s">
        <v>14</v>
      </c>
      <c r="D3" t="s">
        <v>21</v>
      </c>
      <c r="E3" s="2">
        <f>Table1[[#This Row],[Quantity_Sold]] * Table1[[#This Row],[Unit_Price]] * (1 - (Table1[[#This Row],[Discount]] / 100))</f>
        <v>71481.763471999991</v>
      </c>
      <c r="F3" s="2">
        <f>Table1[[#This Row],[Quantity_Sold]] * ((Table1[[#This Row],[Unit_Price]] * (1 - (Table1[[#This Row],[Discount]] / 100))) - Table1[[#This Row],[Unit_Cost]])</f>
        <v>6603.1334719999941</v>
      </c>
      <c r="G3" s="3">
        <v>17</v>
      </c>
      <c r="H3" t="s">
        <v>16</v>
      </c>
      <c r="I3">
        <v>3816.39</v>
      </c>
      <c r="J3" s="2">
        <v>4209.4399999999996</v>
      </c>
      <c r="K3" t="s">
        <v>17</v>
      </c>
      <c r="L3" s="4">
        <v>0.11</v>
      </c>
      <c r="M3" t="s">
        <v>18</v>
      </c>
      <c r="N3" t="s">
        <v>22</v>
      </c>
      <c r="O3" t="s">
        <v>23</v>
      </c>
    </row>
    <row r="4" spans="1:15" x14ac:dyDescent="0.25">
      <c r="A4" s="3">
        <v>1015</v>
      </c>
      <c r="B4" s="1">
        <v>45190</v>
      </c>
      <c r="C4" t="s">
        <v>24</v>
      </c>
      <c r="D4" t="s">
        <v>25</v>
      </c>
      <c r="E4" s="2">
        <f>Table1[[#This Row],[Quantity_Sold]] * Table1[[#This Row],[Unit_Price]] * (1 - (Table1[[#This Row],[Discount]] / 100))</f>
        <v>11119.716</v>
      </c>
      <c r="F4" s="2">
        <f>Table1[[#This Row],[Quantity_Sold]] * ((Table1[[#This Row],[Unit_Price]] * (1 - (Table1[[#This Row],[Discount]] / 100))) - Table1[[#This Row],[Unit_Cost]])</f>
        <v>3272.9159999999997</v>
      </c>
      <c r="G4" s="3">
        <v>30</v>
      </c>
      <c r="H4" t="s">
        <v>26</v>
      </c>
      <c r="I4">
        <v>261.56</v>
      </c>
      <c r="J4" s="2">
        <v>371.4</v>
      </c>
      <c r="K4" t="s">
        <v>17</v>
      </c>
      <c r="L4" s="4">
        <v>0.2</v>
      </c>
      <c r="M4" t="s">
        <v>27</v>
      </c>
      <c r="N4" t="s">
        <v>22</v>
      </c>
      <c r="O4" t="s">
        <v>28</v>
      </c>
    </row>
    <row r="5" spans="1:15" x14ac:dyDescent="0.25">
      <c r="A5" s="3">
        <v>1072</v>
      </c>
      <c r="B5" s="1">
        <v>45162</v>
      </c>
      <c r="C5" t="s">
        <v>14</v>
      </c>
      <c r="D5" t="s">
        <v>25</v>
      </c>
      <c r="E5" s="2">
        <f>Table1[[#This Row],[Quantity_Sold]] * Table1[[#This Row],[Unit_Price]] * (1 - (Table1[[#This Row],[Discount]] / 100))</f>
        <v>174207.40155000001</v>
      </c>
      <c r="F5" s="2">
        <f>Table1[[#This Row],[Quantity_Sold]] * ((Table1[[#This Row],[Unit_Price]] * (1 - (Table1[[#This Row],[Discount]] / 100))) - Table1[[#This Row],[Unit_Cost]])</f>
        <v>5336.2315500000186</v>
      </c>
      <c r="G5" s="3">
        <v>39</v>
      </c>
      <c r="H5" t="s">
        <v>29</v>
      </c>
      <c r="I5">
        <v>4330.03</v>
      </c>
      <c r="J5" s="2">
        <v>4467.75</v>
      </c>
      <c r="K5" t="s">
        <v>30</v>
      </c>
      <c r="L5" s="4">
        <v>0.02</v>
      </c>
      <c r="M5" t="s">
        <v>31</v>
      </c>
      <c r="N5" t="s">
        <v>22</v>
      </c>
      <c r="O5" t="s">
        <v>32</v>
      </c>
    </row>
    <row r="6" spans="1:15" x14ac:dyDescent="0.25">
      <c r="A6" s="3">
        <v>1061</v>
      </c>
      <c r="B6" s="1">
        <v>45009</v>
      </c>
      <c r="C6" t="s">
        <v>33</v>
      </c>
      <c r="D6" t="s">
        <v>34</v>
      </c>
      <c r="E6" s="2">
        <f>Table1[[#This Row],[Quantity_Sold]] * Table1[[#This Row],[Unit_Price]] * (1 - (Table1[[#This Row],[Discount]] / 100))</f>
        <v>8998.0258159999994</v>
      </c>
      <c r="F6" s="2">
        <f>Table1[[#This Row],[Quantity_Sold]] * ((Table1[[#This Row],[Unit_Price]] * (1 - (Table1[[#This Row],[Discount]] / 100))) - Table1[[#This Row],[Unit_Cost]])</f>
        <v>712.21581600000036</v>
      </c>
      <c r="G6" s="3">
        <v>13</v>
      </c>
      <c r="H6" t="s">
        <v>35</v>
      </c>
      <c r="I6">
        <v>637.37</v>
      </c>
      <c r="J6" s="2">
        <v>692.71</v>
      </c>
      <c r="K6" t="s">
        <v>30</v>
      </c>
      <c r="L6" s="4">
        <v>0.08</v>
      </c>
      <c r="M6" t="s">
        <v>31</v>
      </c>
      <c r="N6" t="s">
        <v>19</v>
      </c>
      <c r="O6" t="s">
        <v>36</v>
      </c>
    </row>
    <row r="7" spans="1:15" x14ac:dyDescent="0.25">
      <c r="A7" s="3">
        <v>1021</v>
      </c>
      <c r="B7" s="1">
        <v>44968</v>
      </c>
      <c r="C7" t="s">
        <v>33</v>
      </c>
      <c r="D7" t="s">
        <v>21</v>
      </c>
      <c r="E7" s="2">
        <f>Table1[[#This Row],[Quantity_Sold]] * Table1[[#This Row],[Unit_Price]] * (1 - (Table1[[#This Row],[Discount]] / 100))</f>
        <v>35333.962528000004</v>
      </c>
      <c r="F7" s="2">
        <f>Table1[[#This Row],[Quantity_Sold]] * ((Table1[[#This Row],[Unit_Price]] * (1 - (Table1[[#This Row],[Discount]] / 100))) - Table1[[#This Row],[Unit_Cost]])</f>
        <v>6508.6825280000048</v>
      </c>
      <c r="G7" s="3">
        <v>32</v>
      </c>
      <c r="H7" t="s">
        <v>26</v>
      </c>
      <c r="I7">
        <v>900.79</v>
      </c>
      <c r="J7" s="2">
        <v>1106.51</v>
      </c>
      <c r="K7" t="s">
        <v>30</v>
      </c>
      <c r="L7" s="4">
        <v>0.21</v>
      </c>
      <c r="M7" t="s">
        <v>18</v>
      </c>
      <c r="N7" t="s">
        <v>19</v>
      </c>
      <c r="O7" t="s">
        <v>37</v>
      </c>
    </row>
    <row r="8" spans="1:15" x14ac:dyDescent="0.25">
      <c r="A8" s="3">
        <v>1083</v>
      </c>
      <c r="B8" s="1">
        <v>45027</v>
      </c>
      <c r="C8" t="s">
        <v>14</v>
      </c>
      <c r="D8" t="s">
        <v>21</v>
      </c>
      <c r="E8" s="2">
        <f>Table1[[#This Row],[Quantity_Sold]] * Table1[[#This Row],[Unit_Price]] * (1 - (Table1[[#This Row],[Discount]] / 100))</f>
        <v>75992.071946000011</v>
      </c>
      <c r="F8" s="2">
        <f>Table1[[#This Row],[Quantity_Sold]] * ((Table1[[#This Row],[Unit_Price]] * (1 - (Table1[[#This Row],[Discount]] / 100))) - Table1[[#This Row],[Unit_Cost]])</f>
        <v>6136.5819460000057</v>
      </c>
      <c r="G8" s="3">
        <v>29</v>
      </c>
      <c r="H8" t="s">
        <v>16</v>
      </c>
      <c r="I8">
        <v>2408.81</v>
      </c>
      <c r="J8" s="2">
        <v>2624.09</v>
      </c>
      <c r="K8" t="s">
        <v>17</v>
      </c>
      <c r="L8" s="4">
        <v>0.14000000000000001</v>
      </c>
      <c r="M8" t="s">
        <v>18</v>
      </c>
      <c r="N8" t="s">
        <v>19</v>
      </c>
      <c r="O8" t="s">
        <v>23</v>
      </c>
    </row>
    <row r="9" spans="1:15" x14ac:dyDescent="0.25">
      <c r="A9" s="3">
        <v>1087</v>
      </c>
      <c r="B9" s="1">
        <v>44932</v>
      </c>
      <c r="C9" t="s">
        <v>38</v>
      </c>
      <c r="D9" t="s">
        <v>25</v>
      </c>
      <c r="E9" s="2">
        <f>Table1[[#This Row],[Quantity_Sold]] * Table1[[#This Row],[Unit_Price]] * (1 - (Table1[[#This Row],[Discount]] / 100))</f>
        <v>182155.05132</v>
      </c>
      <c r="F9" s="2">
        <f>Table1[[#This Row],[Quantity_Sold]] * ((Table1[[#This Row],[Unit_Price]] * (1 - (Table1[[#This Row],[Discount]] / 100))) - Table1[[#This Row],[Unit_Cost]])</f>
        <v>11839.591319999996</v>
      </c>
      <c r="G9" s="3">
        <v>46</v>
      </c>
      <c r="H9" t="s">
        <v>16</v>
      </c>
      <c r="I9">
        <v>3702.51</v>
      </c>
      <c r="J9" s="2">
        <v>3964.65</v>
      </c>
      <c r="K9" t="s">
        <v>30</v>
      </c>
      <c r="L9" s="4">
        <v>0.12</v>
      </c>
      <c r="M9" t="s">
        <v>27</v>
      </c>
      <c r="N9" t="s">
        <v>19</v>
      </c>
      <c r="O9" t="s">
        <v>39</v>
      </c>
    </row>
    <row r="10" spans="1:15" x14ac:dyDescent="0.25">
      <c r="A10" s="3">
        <v>1075</v>
      </c>
      <c r="B10" s="1">
        <v>45106</v>
      </c>
      <c r="C10" t="s">
        <v>24</v>
      </c>
      <c r="D10" t="s">
        <v>25</v>
      </c>
      <c r="E10" s="2">
        <f>Table1[[#This Row],[Quantity_Sold]] * Table1[[#This Row],[Unit_Price]] * (1 - (Table1[[#This Row],[Discount]] / 100))</f>
        <v>32847.068249999706</v>
      </c>
      <c r="F10" s="2">
        <f>Table1[[#This Row],[Quantity_Sold]] * ((Table1[[#This Row],[Unit_Price]] * (1 - (Table1[[#This Row],[Discount]] / 100))) - Table1[[#This Row],[Unit_Cost]])</f>
        <v>10705.268249999706</v>
      </c>
      <c r="G10" s="3">
        <v>30</v>
      </c>
      <c r="H10" t="s">
        <v>16</v>
      </c>
      <c r="I10">
        <v>738.06</v>
      </c>
      <c r="J10" s="2">
        <v>1095.44999999999</v>
      </c>
      <c r="K10" t="s">
        <v>30</v>
      </c>
      <c r="L10" s="4">
        <v>0.05</v>
      </c>
      <c r="M10" t="s">
        <v>27</v>
      </c>
      <c r="N10" t="s">
        <v>19</v>
      </c>
      <c r="O10" t="s">
        <v>28</v>
      </c>
    </row>
    <row r="11" spans="1:15" x14ac:dyDescent="0.25">
      <c r="A11" s="3">
        <v>1075</v>
      </c>
      <c r="B11" s="1">
        <v>45208</v>
      </c>
      <c r="C11" t="s">
        <v>33</v>
      </c>
      <c r="D11" t="s">
        <v>21</v>
      </c>
      <c r="E11" s="2">
        <f>Table1[[#This Row],[Quantity_Sold]] * Table1[[#This Row],[Unit_Price]] * (1 - (Table1[[#This Row],[Discount]] / 100))</f>
        <v>48219.353244000005</v>
      </c>
      <c r="F11" s="2">
        <f>Table1[[#This Row],[Quantity_Sold]] * ((Table1[[#This Row],[Unit_Price]] * (1 - (Table1[[#This Row],[Discount]] / 100))) - Table1[[#This Row],[Unit_Cost]])</f>
        <v>8109.0532440000088</v>
      </c>
      <c r="G11" s="3">
        <v>18</v>
      </c>
      <c r="H11" t="s">
        <v>29</v>
      </c>
      <c r="I11">
        <v>2228.35</v>
      </c>
      <c r="J11" s="2">
        <v>2682.34</v>
      </c>
      <c r="K11" t="s">
        <v>30</v>
      </c>
      <c r="L11" s="4">
        <v>0.13</v>
      </c>
      <c r="M11" t="s">
        <v>27</v>
      </c>
      <c r="N11" t="s">
        <v>19</v>
      </c>
      <c r="O11" t="s">
        <v>37</v>
      </c>
    </row>
    <row r="12" spans="1:15" x14ac:dyDescent="0.25">
      <c r="A12" s="3">
        <v>1088</v>
      </c>
      <c r="B12" s="1">
        <v>45246</v>
      </c>
      <c r="C12" t="s">
        <v>38</v>
      </c>
      <c r="D12" t="s">
        <v>15</v>
      </c>
      <c r="E12" s="2">
        <f>Table1[[#This Row],[Quantity_Sold]] * Table1[[#This Row],[Unit_Price]] * (1 - (Table1[[#This Row],[Discount]] / 100))</f>
        <v>32653.52376</v>
      </c>
      <c r="F12" s="2">
        <f>Table1[[#This Row],[Quantity_Sold]] * ((Table1[[#This Row],[Unit_Price]] * (1 - (Table1[[#This Row],[Discount]] / 100))) - Table1[[#This Row],[Unit_Cost]])</f>
        <v>932.09375999999565</v>
      </c>
      <c r="G12" s="3">
        <v>13</v>
      </c>
      <c r="H12" t="s">
        <v>16</v>
      </c>
      <c r="I12">
        <v>2440.11</v>
      </c>
      <c r="J12" s="2">
        <v>2517.6</v>
      </c>
      <c r="K12" t="s">
        <v>30</v>
      </c>
      <c r="L12" s="4">
        <v>0.23</v>
      </c>
      <c r="M12" t="s">
        <v>27</v>
      </c>
      <c r="N12" t="s">
        <v>22</v>
      </c>
      <c r="O12" t="s">
        <v>40</v>
      </c>
    </row>
    <row r="13" spans="1:15" x14ac:dyDescent="0.25">
      <c r="A13" s="3">
        <v>1100</v>
      </c>
      <c r="B13" s="1">
        <v>45152</v>
      </c>
      <c r="C13" t="s">
        <v>14</v>
      </c>
      <c r="D13" t="s">
        <v>21</v>
      </c>
      <c r="E13" s="2">
        <f>Table1[[#This Row],[Quantity_Sold]] * Table1[[#This Row],[Unit_Price]] * (1 - (Table1[[#This Row],[Discount]] / 100))</f>
        <v>48870.792064000001</v>
      </c>
      <c r="F13" s="2">
        <f>Table1[[#This Row],[Quantity_Sold]] * ((Table1[[#This Row],[Unit_Price]] * (1 - (Table1[[#This Row],[Discount]] / 100))) - Table1[[#This Row],[Unit_Cost]])</f>
        <v>1535.9620640000057</v>
      </c>
      <c r="G13" s="3">
        <v>43</v>
      </c>
      <c r="H13" t="s">
        <v>26</v>
      </c>
      <c r="I13">
        <v>1100.81</v>
      </c>
      <c r="J13" s="2">
        <v>1137.44</v>
      </c>
      <c r="K13" t="s">
        <v>17</v>
      </c>
      <c r="L13" s="4">
        <v>0.08</v>
      </c>
      <c r="M13" t="s">
        <v>27</v>
      </c>
      <c r="N13" t="s">
        <v>19</v>
      </c>
      <c r="O13" t="s">
        <v>23</v>
      </c>
    </row>
    <row r="14" spans="1:15" x14ac:dyDescent="0.25">
      <c r="A14" s="3">
        <v>1024</v>
      </c>
      <c r="B14" s="1">
        <v>45241</v>
      </c>
      <c r="C14" t="s">
        <v>38</v>
      </c>
      <c r="D14" t="s">
        <v>21</v>
      </c>
      <c r="E14" s="2">
        <f>Table1[[#This Row],[Quantity_Sold]] * Table1[[#This Row],[Unit_Price]] * (1 - (Table1[[#This Row],[Discount]] / 100))</f>
        <v>13462.890000000001</v>
      </c>
      <c r="F14" s="2">
        <f>Table1[[#This Row],[Quantity_Sold]] * ((Table1[[#This Row],[Unit_Price]] * (1 - (Table1[[#This Row],[Discount]] / 100))) - Table1[[#This Row],[Unit_Cost]])</f>
        <v>400.68000000000086</v>
      </c>
      <c r="G14" s="3">
        <v>21</v>
      </c>
      <c r="H14" t="s">
        <v>26</v>
      </c>
      <c r="I14">
        <v>622.01</v>
      </c>
      <c r="J14" s="2">
        <v>641.09</v>
      </c>
      <c r="K14" t="s">
        <v>17</v>
      </c>
      <c r="L14" s="4">
        <v>0</v>
      </c>
      <c r="M14" t="s">
        <v>27</v>
      </c>
      <c r="N14" t="s">
        <v>22</v>
      </c>
      <c r="O14" t="s">
        <v>41</v>
      </c>
    </row>
    <row r="15" spans="1:15" x14ac:dyDescent="0.25">
      <c r="A15" s="3">
        <v>1003</v>
      </c>
      <c r="B15" s="1">
        <v>45291</v>
      </c>
      <c r="C15" t="s">
        <v>42</v>
      </c>
      <c r="D15" t="s">
        <v>25</v>
      </c>
      <c r="E15" s="2">
        <f>Table1[[#This Row],[Quantity_Sold]] * Table1[[#This Row],[Unit_Price]] * (1 - (Table1[[#This Row],[Discount]] / 100))</f>
        <v>127863.26099999998</v>
      </c>
      <c r="F15" s="2">
        <f>Table1[[#This Row],[Quantity_Sold]] * ((Table1[[#This Row],[Unit_Price]] * (1 - (Table1[[#This Row],[Discount]] / 100))) - Table1[[#This Row],[Unit_Cost]])</f>
        <v>2154.8610000000008</v>
      </c>
      <c r="G15" s="3">
        <v>30</v>
      </c>
      <c r="H15" t="s">
        <v>16</v>
      </c>
      <c r="I15">
        <v>4190.28</v>
      </c>
      <c r="J15" s="2">
        <v>4270.6499999999996</v>
      </c>
      <c r="K15" t="s">
        <v>30</v>
      </c>
      <c r="L15" s="4">
        <v>0.2</v>
      </c>
      <c r="M15" t="s">
        <v>18</v>
      </c>
      <c r="N15" t="s">
        <v>19</v>
      </c>
      <c r="O15" t="s">
        <v>43</v>
      </c>
    </row>
    <row r="16" spans="1:15" x14ac:dyDescent="0.25">
      <c r="A16" s="3">
        <v>1022</v>
      </c>
      <c r="B16" s="1">
        <v>45155</v>
      </c>
      <c r="C16" t="s">
        <v>33</v>
      </c>
      <c r="D16" t="s">
        <v>25</v>
      </c>
      <c r="E16" s="2">
        <f>Table1[[#This Row],[Quantity_Sold]] * Table1[[#This Row],[Unit_Price]] * (1 - (Table1[[#This Row],[Discount]] / 100))</f>
        <v>60086.841359999999</v>
      </c>
      <c r="F16" s="2">
        <f>Table1[[#This Row],[Quantity_Sold]] * ((Table1[[#This Row],[Unit_Price]] * (1 - (Table1[[#This Row],[Discount]] / 100))) - Table1[[#This Row],[Unit_Cost]])</f>
        <v>6805.6413600000005</v>
      </c>
      <c r="G16" s="3">
        <v>21</v>
      </c>
      <c r="H16" t="s">
        <v>26</v>
      </c>
      <c r="I16">
        <v>2537.1999999999998</v>
      </c>
      <c r="J16" s="2">
        <v>2869.6</v>
      </c>
      <c r="K16" t="s">
        <v>30</v>
      </c>
      <c r="L16" s="4">
        <v>0.28999999999999998</v>
      </c>
      <c r="M16" t="s">
        <v>27</v>
      </c>
      <c r="N16" t="s">
        <v>22</v>
      </c>
      <c r="O16" t="s">
        <v>44</v>
      </c>
    </row>
    <row r="17" spans="1:15" x14ac:dyDescent="0.25">
      <c r="A17" s="3">
        <v>1053</v>
      </c>
      <c r="B17" s="1">
        <v>45215</v>
      </c>
      <c r="C17" t="s">
        <v>14</v>
      </c>
      <c r="D17" t="s">
        <v>15</v>
      </c>
      <c r="E17" s="2">
        <f>Table1[[#This Row],[Quantity_Sold]] * Table1[[#This Row],[Unit_Price]] * (1 - (Table1[[#This Row],[Discount]] / 100))</f>
        <v>23365.067039999998</v>
      </c>
      <c r="F17" s="2">
        <f>Table1[[#This Row],[Quantity_Sold]] * ((Table1[[#This Row],[Unit_Price]] * (1 - (Table1[[#This Row],[Discount]] / 100))) - Table1[[#This Row],[Unit_Cost]])</f>
        <v>17547.947039999999</v>
      </c>
      <c r="G17" s="3">
        <v>48</v>
      </c>
      <c r="H17" t="s">
        <v>16</v>
      </c>
      <c r="I17">
        <v>121.19</v>
      </c>
      <c r="J17" s="2">
        <v>487.65</v>
      </c>
      <c r="K17" t="s">
        <v>30</v>
      </c>
      <c r="L17" s="4">
        <v>0.18</v>
      </c>
      <c r="M17" t="s">
        <v>18</v>
      </c>
      <c r="N17" t="s">
        <v>22</v>
      </c>
      <c r="O17" t="s">
        <v>20</v>
      </c>
    </row>
    <row r="18" spans="1:15" x14ac:dyDescent="0.25">
      <c r="A18" s="3">
        <v>1002</v>
      </c>
      <c r="B18" s="1">
        <v>45076</v>
      </c>
      <c r="C18" t="s">
        <v>24</v>
      </c>
      <c r="D18" t="s">
        <v>15</v>
      </c>
      <c r="E18" s="2">
        <f>Table1[[#This Row],[Quantity_Sold]] * Table1[[#This Row],[Unit_Price]] * (1 - (Table1[[#This Row],[Discount]] / 100))</f>
        <v>75112.492979999995</v>
      </c>
      <c r="F18" s="2">
        <f>Table1[[#This Row],[Quantity_Sold]] * ((Table1[[#This Row],[Unit_Price]] * (1 - (Table1[[#This Row],[Discount]] / 100))) - Table1[[#This Row],[Unit_Cost]])</f>
        <v>6691.5729799999999</v>
      </c>
      <c r="G18" s="3">
        <v>17</v>
      </c>
      <c r="H18" t="s">
        <v>16</v>
      </c>
      <c r="I18">
        <v>4024.76</v>
      </c>
      <c r="J18" s="2">
        <v>4420.1499999999996</v>
      </c>
      <c r="K18" t="s">
        <v>17</v>
      </c>
      <c r="L18" s="4">
        <v>0.04</v>
      </c>
      <c r="M18" t="s">
        <v>18</v>
      </c>
      <c r="N18" t="s">
        <v>19</v>
      </c>
      <c r="O18" t="s">
        <v>45</v>
      </c>
    </row>
    <row r="19" spans="1:15" x14ac:dyDescent="0.25">
      <c r="A19" s="3">
        <v>1088</v>
      </c>
      <c r="B19" s="1">
        <v>45203</v>
      </c>
      <c r="C19" t="s">
        <v>14</v>
      </c>
      <c r="D19" t="s">
        <v>34</v>
      </c>
      <c r="E19" s="2">
        <f>Table1[[#This Row],[Quantity_Sold]] * Table1[[#This Row],[Unit_Price]] * (1 - (Table1[[#This Row],[Discount]] / 100))</f>
        <v>201172.62599999999</v>
      </c>
      <c r="F19" s="2">
        <f>Table1[[#This Row],[Quantity_Sold]] * ((Table1[[#This Row],[Unit_Price]] * (1 - (Table1[[#This Row],[Discount]] / 100))) - Table1[[#This Row],[Unit_Cost]])</f>
        <v>4975.4260000000068</v>
      </c>
      <c r="G19" s="3">
        <v>40</v>
      </c>
      <c r="H19" t="s">
        <v>35</v>
      </c>
      <c r="I19">
        <v>4904.93</v>
      </c>
      <c r="J19" s="2">
        <v>5034.3500000000004</v>
      </c>
      <c r="K19" t="s">
        <v>30</v>
      </c>
      <c r="L19" s="4">
        <v>0.1</v>
      </c>
      <c r="M19" t="s">
        <v>31</v>
      </c>
      <c r="N19" t="s">
        <v>22</v>
      </c>
      <c r="O19" t="s">
        <v>46</v>
      </c>
    </row>
    <row r="20" spans="1:15" x14ac:dyDescent="0.25">
      <c r="A20" s="3">
        <v>1030</v>
      </c>
      <c r="B20" s="1">
        <v>45124</v>
      </c>
      <c r="C20" t="s">
        <v>24</v>
      </c>
      <c r="D20" t="s">
        <v>21</v>
      </c>
      <c r="E20" s="2">
        <f>Table1[[#This Row],[Quantity_Sold]] * Table1[[#This Row],[Unit_Price]] * (1 - (Table1[[#This Row],[Discount]] / 100))</f>
        <v>60816.644531999991</v>
      </c>
      <c r="F20" s="2">
        <f>Table1[[#This Row],[Quantity_Sold]] * ((Table1[[#This Row],[Unit_Price]] * (1 - (Table1[[#This Row],[Discount]] / 100))) - Table1[[#This Row],[Unit_Cost]])</f>
        <v>2879.3745319999953</v>
      </c>
      <c r="G20" s="3">
        <v>19</v>
      </c>
      <c r="H20" t="s">
        <v>29</v>
      </c>
      <c r="I20">
        <v>3049.33</v>
      </c>
      <c r="J20" s="2">
        <v>3209.22</v>
      </c>
      <c r="K20" t="s">
        <v>17</v>
      </c>
      <c r="L20" s="4">
        <v>0.26</v>
      </c>
      <c r="M20" t="s">
        <v>18</v>
      </c>
      <c r="N20" t="s">
        <v>19</v>
      </c>
      <c r="O20" t="s">
        <v>47</v>
      </c>
    </row>
    <row r="21" spans="1:15" x14ac:dyDescent="0.25">
      <c r="A21" s="3">
        <v>1038</v>
      </c>
      <c r="B21" s="1">
        <v>44996</v>
      </c>
      <c r="C21" t="s">
        <v>14</v>
      </c>
      <c r="D21" t="s">
        <v>25</v>
      </c>
      <c r="E21" s="2">
        <f>Table1[[#This Row],[Quantity_Sold]] * Table1[[#This Row],[Unit_Price]] * (1 - (Table1[[#This Row],[Discount]] / 100))</f>
        <v>41822.203949999996</v>
      </c>
      <c r="F21" s="2">
        <f>Table1[[#This Row],[Quantity_Sold]] * ((Table1[[#This Row],[Unit_Price]] * (1 - (Table1[[#This Row],[Discount]] / 100))) - Table1[[#This Row],[Unit_Cost]])</f>
        <v>3671.8039499999963</v>
      </c>
      <c r="G21" s="3">
        <v>15</v>
      </c>
      <c r="H21" t="s">
        <v>29</v>
      </c>
      <c r="I21">
        <v>2543.36</v>
      </c>
      <c r="J21" s="2">
        <v>2790.1</v>
      </c>
      <c r="K21" t="s">
        <v>17</v>
      </c>
      <c r="L21" s="4">
        <v>7.0000000000000007E-2</v>
      </c>
      <c r="M21" t="s">
        <v>18</v>
      </c>
      <c r="N21" t="s">
        <v>19</v>
      </c>
      <c r="O21" t="s">
        <v>32</v>
      </c>
    </row>
    <row r="22" spans="1:15" x14ac:dyDescent="0.25">
      <c r="A22" s="3">
        <v>1002</v>
      </c>
      <c r="B22" s="1">
        <v>45038</v>
      </c>
      <c r="C22" t="s">
        <v>38</v>
      </c>
      <c r="D22" t="s">
        <v>15</v>
      </c>
      <c r="E22" s="2">
        <f>Table1[[#This Row],[Quantity_Sold]] * Table1[[#This Row],[Unit_Price]] * (1 - (Table1[[#This Row],[Discount]] / 100))</f>
        <v>39880.166256000004</v>
      </c>
      <c r="F22" s="2">
        <f>Table1[[#This Row],[Quantity_Sold]] * ((Table1[[#This Row],[Unit_Price]] * (1 - (Table1[[#This Row],[Discount]] / 100))) - Table1[[#This Row],[Unit_Cost]])</f>
        <v>296.72625599999537</v>
      </c>
      <c r="G22" s="3">
        <v>9</v>
      </c>
      <c r="H22" t="s">
        <v>35</v>
      </c>
      <c r="I22">
        <v>4398.16</v>
      </c>
      <c r="J22" s="2">
        <v>4439.12</v>
      </c>
      <c r="K22" t="s">
        <v>30</v>
      </c>
      <c r="L22" s="4">
        <v>0.18</v>
      </c>
      <c r="M22" t="s">
        <v>27</v>
      </c>
      <c r="N22" t="s">
        <v>19</v>
      </c>
      <c r="O22" t="s">
        <v>40</v>
      </c>
    </row>
    <row r="23" spans="1:15" x14ac:dyDescent="0.25">
      <c r="A23" s="3">
        <v>1064</v>
      </c>
      <c r="B23" s="1">
        <v>44930</v>
      </c>
      <c r="C23" t="s">
        <v>38</v>
      </c>
      <c r="D23" t="s">
        <v>34</v>
      </c>
      <c r="E23" s="2">
        <f>Table1[[#This Row],[Quantity_Sold]] * Table1[[#This Row],[Unit_Price]] * (1 - (Table1[[#This Row],[Discount]] / 100))</f>
        <v>50683.306960000002</v>
      </c>
      <c r="F23" s="2">
        <f>Table1[[#This Row],[Quantity_Sold]] * ((Table1[[#This Row],[Unit_Price]] * (1 - (Table1[[#This Row],[Discount]] / 100))) - Table1[[#This Row],[Unit_Cost]])</f>
        <v>3033.7069599999995</v>
      </c>
      <c r="G23" s="3">
        <v>10</v>
      </c>
      <c r="H23" t="s">
        <v>35</v>
      </c>
      <c r="I23">
        <v>4764.96</v>
      </c>
      <c r="J23" s="2">
        <v>5074.42</v>
      </c>
      <c r="K23" t="s">
        <v>30</v>
      </c>
      <c r="L23" s="4">
        <v>0.12</v>
      </c>
      <c r="M23" t="s">
        <v>18</v>
      </c>
      <c r="N23" t="s">
        <v>19</v>
      </c>
      <c r="O23" t="s">
        <v>48</v>
      </c>
    </row>
    <row r="24" spans="1:15" x14ac:dyDescent="0.25">
      <c r="A24" s="3">
        <v>1060</v>
      </c>
      <c r="B24" s="1">
        <v>45276</v>
      </c>
      <c r="C24" t="s">
        <v>38</v>
      </c>
      <c r="D24" t="s">
        <v>34</v>
      </c>
      <c r="E24" s="2">
        <f>Table1[[#This Row],[Quantity_Sold]] * Table1[[#This Row],[Unit_Price]] * (1 - (Table1[[#This Row],[Discount]] / 100))</f>
        <v>188074.64746399998</v>
      </c>
      <c r="F24" s="2">
        <f>Table1[[#This Row],[Quantity_Sold]] * ((Table1[[#This Row],[Unit_Price]] * (1 - (Table1[[#This Row],[Discount]] / 100))) - Table1[[#This Row],[Unit_Cost]])</f>
        <v>21536.407463999989</v>
      </c>
      <c r="G24" s="3">
        <v>44</v>
      </c>
      <c r="H24" t="s">
        <v>29</v>
      </c>
      <c r="I24">
        <v>3784.96</v>
      </c>
      <c r="J24" s="2">
        <v>4276.99</v>
      </c>
      <c r="K24" t="s">
        <v>30</v>
      </c>
      <c r="L24" s="4">
        <v>0.06</v>
      </c>
      <c r="M24" t="s">
        <v>27</v>
      </c>
      <c r="N24" t="s">
        <v>22</v>
      </c>
      <c r="O24" t="s">
        <v>48</v>
      </c>
    </row>
    <row r="25" spans="1:15" x14ac:dyDescent="0.25">
      <c r="A25" s="3">
        <v>1021</v>
      </c>
      <c r="B25" s="1">
        <v>45257</v>
      </c>
      <c r="C25" t="s">
        <v>42</v>
      </c>
      <c r="D25" t="s">
        <v>25</v>
      </c>
      <c r="E25" s="2">
        <f>Table1[[#This Row],[Quantity_Sold]] * Table1[[#This Row],[Unit_Price]] * (1 - (Table1[[#This Row],[Discount]] / 100))</f>
        <v>75513.820824000009</v>
      </c>
      <c r="F25" s="2">
        <f>Table1[[#This Row],[Quantity_Sold]] * ((Table1[[#This Row],[Unit_Price]] * (1 - (Table1[[#This Row],[Discount]] / 100))) - Table1[[#This Row],[Unit_Cost]])</f>
        <v>5609.1308240000108</v>
      </c>
      <c r="G25" s="3">
        <v>31</v>
      </c>
      <c r="H25" t="s">
        <v>16</v>
      </c>
      <c r="I25">
        <v>2254.9899999999998</v>
      </c>
      <c r="J25" s="2">
        <v>2441.79</v>
      </c>
      <c r="K25" t="s">
        <v>17</v>
      </c>
      <c r="L25" s="4">
        <v>0.24</v>
      </c>
      <c r="M25" t="s">
        <v>27</v>
      </c>
      <c r="N25" t="s">
        <v>19</v>
      </c>
      <c r="O25" t="s">
        <v>43</v>
      </c>
    </row>
    <row r="26" spans="1:15" x14ac:dyDescent="0.25">
      <c r="A26" s="3">
        <v>1033</v>
      </c>
      <c r="B26" s="1">
        <v>45244</v>
      </c>
      <c r="C26" t="s">
        <v>24</v>
      </c>
      <c r="D26" t="s">
        <v>25</v>
      </c>
      <c r="E26" s="2">
        <f>Table1[[#This Row],[Quantity_Sold]] * Table1[[#This Row],[Unit_Price]] * (1 - (Table1[[#This Row],[Discount]] / 100))</f>
        <v>77119.163759999996</v>
      </c>
      <c r="F26" s="2">
        <f>Table1[[#This Row],[Quantity_Sold]] * ((Table1[[#This Row],[Unit_Price]] * (1 - (Table1[[#This Row],[Discount]] / 100))) - Table1[[#This Row],[Unit_Cost]])</f>
        <v>8544.6637600000049</v>
      </c>
      <c r="G26" s="3">
        <v>23</v>
      </c>
      <c r="H26" t="s">
        <v>16</v>
      </c>
      <c r="I26">
        <v>2981.5</v>
      </c>
      <c r="J26" s="2">
        <v>3360.4</v>
      </c>
      <c r="K26" t="s">
        <v>17</v>
      </c>
      <c r="L26" s="4">
        <v>0.22</v>
      </c>
      <c r="M26" t="s">
        <v>27</v>
      </c>
      <c r="N26" t="s">
        <v>22</v>
      </c>
      <c r="O26" t="s">
        <v>28</v>
      </c>
    </row>
    <row r="27" spans="1:15" x14ac:dyDescent="0.25">
      <c r="A27" s="3">
        <v>1076</v>
      </c>
      <c r="B27" s="1">
        <v>45276</v>
      </c>
      <c r="C27" t="s">
        <v>38</v>
      </c>
      <c r="D27" t="s">
        <v>34</v>
      </c>
      <c r="E27" s="2">
        <f>Table1[[#This Row],[Quantity_Sold]] * Table1[[#This Row],[Unit_Price]] * (1 - (Table1[[#This Row],[Discount]] / 100))</f>
        <v>113013.02099999999</v>
      </c>
      <c r="F27" s="2">
        <f>Table1[[#This Row],[Quantity_Sold]] * ((Table1[[#This Row],[Unit_Price]] * (1 - (Table1[[#This Row],[Discount]] / 100))) - Table1[[#This Row],[Unit_Cost]])</f>
        <v>7424.1209999999955</v>
      </c>
      <c r="G27" s="3">
        <v>30</v>
      </c>
      <c r="H27" t="s">
        <v>29</v>
      </c>
      <c r="I27">
        <v>3519.63</v>
      </c>
      <c r="J27" s="2">
        <v>3774.65</v>
      </c>
      <c r="K27" t="s">
        <v>30</v>
      </c>
      <c r="L27" s="4">
        <v>0.2</v>
      </c>
      <c r="M27" t="s">
        <v>31</v>
      </c>
      <c r="N27" t="s">
        <v>22</v>
      </c>
      <c r="O27" t="s">
        <v>48</v>
      </c>
    </row>
    <row r="28" spans="1:15" x14ac:dyDescent="0.25">
      <c r="A28" s="3">
        <v>1058</v>
      </c>
      <c r="B28" s="1">
        <v>45021</v>
      </c>
      <c r="C28" t="s">
        <v>42</v>
      </c>
      <c r="D28" t="s">
        <v>15</v>
      </c>
      <c r="E28" s="2">
        <f>Table1[[#This Row],[Quantity_Sold]] * Table1[[#This Row],[Unit_Price]] * (1 - (Table1[[#This Row],[Discount]] / 100))</f>
        <v>35756.193132</v>
      </c>
      <c r="F28" s="2">
        <f>Table1[[#This Row],[Quantity_Sold]] * ((Table1[[#This Row],[Unit_Price]] * (1 - (Table1[[#This Row],[Discount]] / 100))) - Table1[[#This Row],[Unit_Cost]])</f>
        <v>2371.7431319999992</v>
      </c>
      <c r="G28" s="3">
        <v>33</v>
      </c>
      <c r="H28" t="s">
        <v>16</v>
      </c>
      <c r="I28">
        <v>1011.65</v>
      </c>
      <c r="J28" s="2">
        <v>1084.28</v>
      </c>
      <c r="K28" t="s">
        <v>17</v>
      </c>
      <c r="L28" s="4">
        <v>7.0000000000000007E-2</v>
      </c>
      <c r="M28" t="s">
        <v>27</v>
      </c>
      <c r="N28" t="s">
        <v>22</v>
      </c>
      <c r="O28" t="s">
        <v>49</v>
      </c>
    </row>
    <row r="29" spans="1:15" x14ac:dyDescent="0.25">
      <c r="A29" s="3">
        <v>1022</v>
      </c>
      <c r="B29" s="1">
        <v>45078</v>
      </c>
      <c r="C29" t="s">
        <v>24</v>
      </c>
      <c r="D29" t="s">
        <v>34</v>
      </c>
      <c r="E29" s="2">
        <f>Table1[[#This Row],[Quantity_Sold]] * Table1[[#This Row],[Unit_Price]] * (1 - (Table1[[#This Row],[Discount]] / 100))</f>
        <v>23023.640834999998</v>
      </c>
      <c r="F29" s="2">
        <f>Table1[[#This Row],[Quantity_Sold]] * ((Table1[[#This Row],[Unit_Price]] * (1 - (Table1[[#This Row],[Discount]] / 100))) - Table1[[#This Row],[Unit_Cost]])</f>
        <v>2650.7908349999993</v>
      </c>
      <c r="G29" s="3">
        <v>9</v>
      </c>
      <c r="H29" t="s">
        <v>35</v>
      </c>
      <c r="I29">
        <v>2263.65</v>
      </c>
      <c r="J29" s="2">
        <v>2558.9499999999998</v>
      </c>
      <c r="K29" t="s">
        <v>30</v>
      </c>
      <c r="L29" s="4">
        <v>0.03</v>
      </c>
      <c r="M29" t="s">
        <v>18</v>
      </c>
      <c r="N29" t="s">
        <v>19</v>
      </c>
      <c r="O29" t="s">
        <v>50</v>
      </c>
    </row>
    <row r="30" spans="1:15" x14ac:dyDescent="0.25">
      <c r="A30" s="3">
        <v>1089</v>
      </c>
      <c r="B30" s="1">
        <v>45237</v>
      </c>
      <c r="C30" t="s">
        <v>14</v>
      </c>
      <c r="D30" t="s">
        <v>21</v>
      </c>
      <c r="E30" s="2">
        <f>Table1[[#This Row],[Quantity_Sold]] * Table1[[#This Row],[Unit_Price]] * (1 - (Table1[[#This Row],[Discount]] / 100))</f>
        <v>202439.58665599953</v>
      </c>
      <c r="F30" s="2">
        <f>Table1[[#This Row],[Quantity_Sold]] * ((Table1[[#This Row],[Unit_Price]] * (1 - (Table1[[#This Row],[Discount]] / 100))) - Table1[[#This Row],[Unit_Cost]])</f>
        <v>7031.4466559995653</v>
      </c>
      <c r="G30" s="3">
        <v>47</v>
      </c>
      <c r="H30" t="s">
        <v>16</v>
      </c>
      <c r="I30">
        <v>4157.62</v>
      </c>
      <c r="J30" s="2">
        <v>4314.5599999999904</v>
      </c>
      <c r="K30" t="s">
        <v>30</v>
      </c>
      <c r="L30" s="4">
        <v>0.17</v>
      </c>
      <c r="M30" t="s">
        <v>27</v>
      </c>
      <c r="N30" t="s">
        <v>22</v>
      </c>
      <c r="O30" t="s">
        <v>23</v>
      </c>
    </row>
    <row r="31" spans="1:15" x14ac:dyDescent="0.25">
      <c r="A31" s="3">
        <v>1049</v>
      </c>
      <c r="B31" s="1">
        <v>45063</v>
      </c>
      <c r="C31" t="s">
        <v>42</v>
      </c>
      <c r="D31" t="s">
        <v>21</v>
      </c>
      <c r="E31" s="2">
        <f>Table1[[#This Row],[Quantity_Sold]] * Table1[[#This Row],[Unit_Price]] * (1 - (Table1[[#This Row],[Discount]] / 100))</f>
        <v>3312.109825</v>
      </c>
      <c r="F31" s="2">
        <f>Table1[[#This Row],[Quantity_Sold]] * ((Table1[[#This Row],[Unit_Price]] * (1 - (Table1[[#This Row],[Discount]] / 100))) - Table1[[#This Row],[Unit_Cost]])</f>
        <v>21.219825000000128</v>
      </c>
      <c r="G31" s="3">
        <v>1</v>
      </c>
      <c r="H31" t="s">
        <v>16</v>
      </c>
      <c r="I31">
        <v>3290.89</v>
      </c>
      <c r="J31" s="2">
        <v>3317.75</v>
      </c>
      <c r="K31" t="s">
        <v>17</v>
      </c>
      <c r="L31" s="4">
        <v>0.17</v>
      </c>
      <c r="M31" t="s">
        <v>27</v>
      </c>
      <c r="N31" t="s">
        <v>19</v>
      </c>
      <c r="O31" t="s">
        <v>51</v>
      </c>
    </row>
    <row r="32" spans="1:15" x14ac:dyDescent="0.25">
      <c r="A32" s="3">
        <v>1091</v>
      </c>
      <c r="B32" s="1">
        <v>45173</v>
      </c>
      <c r="C32" t="s">
        <v>33</v>
      </c>
      <c r="D32" t="s">
        <v>25</v>
      </c>
      <c r="E32" s="2">
        <f>Table1[[#This Row],[Quantity_Sold]] * Table1[[#This Row],[Unit_Price]] * (1 - (Table1[[#This Row],[Discount]] / 100))</f>
        <v>105825.98628799999</v>
      </c>
      <c r="F32" s="2">
        <f>Table1[[#This Row],[Quantity_Sold]] * ((Table1[[#This Row],[Unit_Price]] * (1 - (Table1[[#This Row],[Discount]] / 100))) - Table1[[#This Row],[Unit_Cost]])</f>
        <v>14065.746287999991</v>
      </c>
      <c r="G32" s="3">
        <v>44</v>
      </c>
      <c r="H32" t="s">
        <v>26</v>
      </c>
      <c r="I32">
        <v>2085.46</v>
      </c>
      <c r="J32" s="2">
        <v>2406.58</v>
      </c>
      <c r="K32" t="s">
        <v>17</v>
      </c>
      <c r="L32" s="4">
        <v>0.06</v>
      </c>
      <c r="M32" t="s">
        <v>27</v>
      </c>
      <c r="N32" t="s">
        <v>22</v>
      </c>
      <c r="O32" t="s">
        <v>44</v>
      </c>
    </row>
    <row r="33" spans="1:15" x14ac:dyDescent="0.25">
      <c r="A33" s="3">
        <v>1059</v>
      </c>
      <c r="B33" s="1">
        <v>45169</v>
      </c>
      <c r="C33" t="s">
        <v>42</v>
      </c>
      <c r="D33" t="s">
        <v>15</v>
      </c>
      <c r="E33" s="2">
        <f>Table1[[#This Row],[Quantity_Sold]] * Table1[[#This Row],[Unit_Price]] * (1 - (Table1[[#This Row],[Discount]] / 100))</f>
        <v>131731.84836</v>
      </c>
      <c r="F33" s="2">
        <f>Table1[[#This Row],[Quantity_Sold]] * ((Table1[[#This Row],[Unit_Price]] * (1 - (Table1[[#This Row],[Discount]] / 100))) - Table1[[#This Row],[Unit_Cost]])</f>
        <v>15054.448360000006</v>
      </c>
      <c r="G33" s="3">
        <v>35</v>
      </c>
      <c r="H33" t="s">
        <v>26</v>
      </c>
      <c r="I33">
        <v>3333.64</v>
      </c>
      <c r="J33" s="2">
        <v>3764.52</v>
      </c>
      <c r="K33" t="s">
        <v>17</v>
      </c>
      <c r="L33" s="4">
        <v>0.02</v>
      </c>
      <c r="M33" t="s">
        <v>31</v>
      </c>
      <c r="N33" t="s">
        <v>19</v>
      </c>
      <c r="O33" t="s">
        <v>49</v>
      </c>
    </row>
    <row r="34" spans="1:15" x14ac:dyDescent="0.25">
      <c r="A34" s="3">
        <v>1042</v>
      </c>
      <c r="B34" s="1">
        <v>44957</v>
      </c>
      <c r="C34" t="s">
        <v>42</v>
      </c>
      <c r="D34" t="s">
        <v>15</v>
      </c>
      <c r="E34" s="2">
        <f>Table1[[#This Row],[Quantity_Sold]] * Table1[[#This Row],[Unit_Price]] * (1 - (Table1[[#This Row],[Discount]] / 100))</f>
        <v>8953.7488919999996</v>
      </c>
      <c r="F34" s="2">
        <f>Table1[[#This Row],[Quantity_Sold]] * ((Table1[[#This Row],[Unit_Price]] * (1 - (Table1[[#This Row],[Discount]] / 100))) - Table1[[#This Row],[Unit_Cost]])</f>
        <v>1966.5488919999993</v>
      </c>
      <c r="G34" s="3">
        <v>11</v>
      </c>
      <c r="H34" t="s">
        <v>26</v>
      </c>
      <c r="I34">
        <v>635.20000000000005</v>
      </c>
      <c r="J34" s="2">
        <v>814.14</v>
      </c>
      <c r="K34" t="s">
        <v>17</v>
      </c>
      <c r="L34" s="4">
        <v>0.02</v>
      </c>
      <c r="M34" t="s">
        <v>18</v>
      </c>
      <c r="N34" t="s">
        <v>19</v>
      </c>
      <c r="O34" t="s">
        <v>49</v>
      </c>
    </row>
    <row r="35" spans="1:15" x14ac:dyDescent="0.25">
      <c r="A35" s="3">
        <v>1092</v>
      </c>
      <c r="B35" s="1">
        <v>44966</v>
      </c>
      <c r="C35" t="s">
        <v>24</v>
      </c>
      <c r="D35" t="s">
        <v>21</v>
      </c>
      <c r="E35" s="2">
        <f>Table1[[#This Row],[Quantity_Sold]] * Table1[[#This Row],[Unit_Price]] * (1 - (Table1[[#This Row],[Discount]] / 100))</f>
        <v>75885.757700000002</v>
      </c>
      <c r="F35" s="2">
        <f>Table1[[#This Row],[Quantity_Sold]] * ((Table1[[#This Row],[Unit_Price]] * (1 - (Table1[[#This Row],[Discount]] / 100))) - Table1[[#This Row],[Unit_Cost]])</f>
        <v>6613.8177000000069</v>
      </c>
      <c r="G35" s="3">
        <v>34</v>
      </c>
      <c r="H35" t="s">
        <v>16</v>
      </c>
      <c r="I35">
        <v>2037.41</v>
      </c>
      <c r="J35" s="2">
        <v>2238.65</v>
      </c>
      <c r="K35" t="s">
        <v>30</v>
      </c>
      <c r="L35" s="4">
        <v>0.3</v>
      </c>
      <c r="M35" t="s">
        <v>31</v>
      </c>
      <c r="N35" t="s">
        <v>19</v>
      </c>
      <c r="O35" t="s">
        <v>47</v>
      </c>
    </row>
    <row r="36" spans="1:15" x14ac:dyDescent="0.25">
      <c r="A36" s="3">
        <v>1060</v>
      </c>
      <c r="B36" s="1">
        <v>45155</v>
      </c>
      <c r="C36" t="s">
        <v>14</v>
      </c>
      <c r="D36" t="s">
        <v>34</v>
      </c>
      <c r="E36" s="2">
        <f>Table1[[#This Row],[Quantity_Sold]] * Table1[[#This Row],[Unit_Price]] * (1 - (Table1[[#This Row],[Discount]] / 100))</f>
        <v>70591.612544000003</v>
      </c>
      <c r="F36" s="2">
        <f>Table1[[#This Row],[Quantity_Sold]] * ((Table1[[#This Row],[Unit_Price]] * (1 - (Table1[[#This Row],[Discount]] / 100))) - Table1[[#This Row],[Unit_Cost]])</f>
        <v>6975.7725440000067</v>
      </c>
      <c r="G36" s="3">
        <v>16</v>
      </c>
      <c r="H36" t="s">
        <v>29</v>
      </c>
      <c r="I36">
        <v>3975.99</v>
      </c>
      <c r="J36" s="2">
        <v>4422.59</v>
      </c>
      <c r="K36" t="s">
        <v>30</v>
      </c>
      <c r="L36" s="4">
        <v>0.24</v>
      </c>
      <c r="M36" t="s">
        <v>18</v>
      </c>
      <c r="N36" t="s">
        <v>19</v>
      </c>
      <c r="O36" t="s">
        <v>46</v>
      </c>
    </row>
    <row r="37" spans="1:15" x14ac:dyDescent="0.25">
      <c r="A37" s="3">
        <v>1080</v>
      </c>
      <c r="B37" s="1">
        <v>44962</v>
      </c>
      <c r="C37" t="s">
        <v>33</v>
      </c>
      <c r="D37" t="s">
        <v>25</v>
      </c>
      <c r="E37" s="2">
        <f>Table1[[#This Row],[Quantity_Sold]] * Table1[[#This Row],[Unit_Price]] * (1 - (Table1[[#This Row],[Discount]] / 100))</f>
        <v>13912.645212000001</v>
      </c>
      <c r="F37" s="2">
        <f>Table1[[#This Row],[Quantity_Sold]] * ((Table1[[#This Row],[Unit_Price]] * (1 - (Table1[[#This Row],[Discount]] / 100))) - Table1[[#This Row],[Unit_Cost]])</f>
        <v>3638.965212000001</v>
      </c>
      <c r="G37" s="3">
        <v>9</v>
      </c>
      <c r="H37" t="s">
        <v>35</v>
      </c>
      <c r="I37">
        <v>1141.52</v>
      </c>
      <c r="J37" s="2">
        <v>1550.19</v>
      </c>
      <c r="K37" t="s">
        <v>30</v>
      </c>
      <c r="L37" s="4">
        <v>0.28000000000000003</v>
      </c>
      <c r="M37" t="s">
        <v>31</v>
      </c>
      <c r="N37" t="s">
        <v>22</v>
      </c>
      <c r="O37" t="s">
        <v>44</v>
      </c>
    </row>
    <row r="38" spans="1:15" x14ac:dyDescent="0.25">
      <c r="A38" s="3">
        <v>1015</v>
      </c>
      <c r="B38" s="1">
        <v>45149</v>
      </c>
      <c r="C38" t="s">
        <v>38</v>
      </c>
      <c r="D38" t="s">
        <v>34</v>
      </c>
      <c r="E38" s="2">
        <f>Table1[[#This Row],[Quantity_Sold]] * Table1[[#This Row],[Unit_Price]] * (1 - (Table1[[#This Row],[Discount]] / 100))</f>
        <v>42561.327871999994</v>
      </c>
      <c r="F38" s="2">
        <f>Table1[[#This Row],[Quantity_Sold]] * ((Table1[[#This Row],[Unit_Price]] * (1 - (Table1[[#This Row],[Discount]] / 100))) - Table1[[#This Row],[Unit_Cost]])</f>
        <v>11505.007871999995</v>
      </c>
      <c r="G38" s="3">
        <v>32</v>
      </c>
      <c r="H38" t="s">
        <v>16</v>
      </c>
      <c r="I38">
        <v>970.51</v>
      </c>
      <c r="J38" s="2">
        <v>1330.84</v>
      </c>
      <c r="K38" t="s">
        <v>17</v>
      </c>
      <c r="L38" s="4">
        <v>0.06</v>
      </c>
      <c r="M38" t="s">
        <v>18</v>
      </c>
      <c r="N38" t="s">
        <v>22</v>
      </c>
      <c r="O38" t="s">
        <v>48</v>
      </c>
    </row>
    <row r="39" spans="1:15" x14ac:dyDescent="0.25">
      <c r="A39" s="3">
        <v>1062</v>
      </c>
      <c r="B39" s="1">
        <v>44932</v>
      </c>
      <c r="C39" t="s">
        <v>38</v>
      </c>
      <c r="D39" t="s">
        <v>34</v>
      </c>
      <c r="E39" s="2">
        <f>Table1[[#This Row],[Quantity_Sold]] * Table1[[#This Row],[Unit_Price]] * (1 - (Table1[[#This Row],[Discount]] / 100))</f>
        <v>73114.25198999999</v>
      </c>
      <c r="F39" s="2">
        <f>Table1[[#This Row],[Quantity_Sold]] * ((Table1[[#This Row],[Unit_Price]] * (1 - (Table1[[#This Row],[Discount]] / 100))) - Table1[[#This Row],[Unit_Cost]])</f>
        <v>1766.0019899999952</v>
      </c>
      <c r="G39" s="3">
        <v>15</v>
      </c>
      <c r="H39" t="s">
        <v>29</v>
      </c>
      <c r="I39">
        <v>4756.55</v>
      </c>
      <c r="J39" s="2">
        <v>4888.46</v>
      </c>
      <c r="K39" t="s">
        <v>30</v>
      </c>
      <c r="L39" s="4">
        <v>0.28999999999999998</v>
      </c>
      <c r="M39" t="s">
        <v>31</v>
      </c>
      <c r="N39" t="s">
        <v>19</v>
      </c>
      <c r="O39" t="s">
        <v>48</v>
      </c>
    </row>
    <row r="40" spans="1:15" x14ac:dyDescent="0.25">
      <c r="A40" s="3">
        <v>1062</v>
      </c>
      <c r="B40" s="1">
        <v>45248</v>
      </c>
      <c r="C40" t="s">
        <v>42</v>
      </c>
      <c r="D40" t="s">
        <v>34</v>
      </c>
      <c r="E40" s="2">
        <f>Table1[[#This Row],[Quantity_Sold]] * Table1[[#This Row],[Unit_Price]] * (1 - (Table1[[#This Row],[Discount]] / 100))</f>
        <v>18532.584000000003</v>
      </c>
      <c r="F40" s="2">
        <f>Table1[[#This Row],[Quantity_Sold]] * ((Table1[[#This Row],[Unit_Price]] * (1 - (Table1[[#This Row],[Discount]] / 100))) - Table1[[#This Row],[Unit_Cost]])</f>
        <v>5464.7040000000006</v>
      </c>
      <c r="G40" s="3">
        <v>12</v>
      </c>
      <c r="H40" t="s">
        <v>16</v>
      </c>
      <c r="I40">
        <v>1088.99</v>
      </c>
      <c r="J40" s="2">
        <v>1545</v>
      </c>
      <c r="K40" t="s">
        <v>17</v>
      </c>
      <c r="L40" s="4">
        <v>0.04</v>
      </c>
      <c r="M40" t="s">
        <v>27</v>
      </c>
      <c r="N40" t="s">
        <v>22</v>
      </c>
      <c r="O40" t="s">
        <v>52</v>
      </c>
    </row>
    <row r="41" spans="1:15" x14ac:dyDescent="0.25">
      <c r="A41" s="3">
        <v>1047</v>
      </c>
      <c r="B41" s="1">
        <v>45146</v>
      </c>
      <c r="C41" t="s">
        <v>24</v>
      </c>
      <c r="D41" t="s">
        <v>15</v>
      </c>
      <c r="E41" s="2">
        <f>Table1[[#This Row],[Quantity_Sold]] * Table1[[#This Row],[Unit_Price]] * (1 - (Table1[[#This Row],[Discount]] / 100))</f>
        <v>47027.283105000002</v>
      </c>
      <c r="F41" s="2">
        <f>Table1[[#This Row],[Quantity_Sold]] * ((Table1[[#This Row],[Unit_Price]] * (1 - (Table1[[#This Row],[Discount]] / 100))) - Table1[[#This Row],[Unit_Cost]])</f>
        <v>2756.1331050000035</v>
      </c>
      <c r="G41" s="3">
        <v>33</v>
      </c>
      <c r="H41" t="s">
        <v>35</v>
      </c>
      <c r="I41">
        <v>1341.55</v>
      </c>
      <c r="J41" s="2">
        <v>1427.21</v>
      </c>
      <c r="K41" t="s">
        <v>17</v>
      </c>
      <c r="L41" s="4">
        <v>0.15</v>
      </c>
      <c r="M41" t="s">
        <v>31</v>
      </c>
      <c r="N41" t="s">
        <v>19</v>
      </c>
      <c r="O41" t="s">
        <v>45</v>
      </c>
    </row>
    <row r="42" spans="1:15" x14ac:dyDescent="0.25">
      <c r="A42" s="3">
        <v>1062</v>
      </c>
      <c r="B42" s="1">
        <v>45001</v>
      </c>
      <c r="C42" t="s">
        <v>24</v>
      </c>
      <c r="D42" t="s">
        <v>21</v>
      </c>
      <c r="E42" s="2">
        <f>Table1[[#This Row],[Quantity_Sold]] * Table1[[#This Row],[Unit_Price]] * (1 - (Table1[[#This Row],[Discount]] / 100))</f>
        <v>231921.14400000003</v>
      </c>
      <c r="F42" s="2">
        <f>Table1[[#This Row],[Quantity_Sold]] * ((Table1[[#This Row],[Unit_Price]] * (1 - (Table1[[#This Row],[Discount]] / 100))) - Table1[[#This Row],[Unit_Cost]])</f>
        <v>13689.143999999997</v>
      </c>
      <c r="G42" s="3">
        <v>45</v>
      </c>
      <c r="H42" t="s">
        <v>16</v>
      </c>
      <c r="I42">
        <v>4849.6000000000004</v>
      </c>
      <c r="J42" s="2">
        <v>5166.72</v>
      </c>
      <c r="K42" t="s">
        <v>17</v>
      </c>
      <c r="L42" s="4">
        <v>0.25</v>
      </c>
      <c r="M42" t="s">
        <v>31</v>
      </c>
      <c r="N42" t="s">
        <v>19</v>
      </c>
      <c r="O42" t="s">
        <v>47</v>
      </c>
    </row>
    <row r="43" spans="1:15" x14ac:dyDescent="0.25">
      <c r="A43" s="3">
        <v>1051</v>
      </c>
      <c r="B43" s="1">
        <v>44930</v>
      </c>
      <c r="C43" t="s">
        <v>38</v>
      </c>
      <c r="D43" t="s">
        <v>15</v>
      </c>
      <c r="E43" s="2">
        <f>Table1[[#This Row],[Quantity_Sold]] * Table1[[#This Row],[Unit_Price]] * (1 - (Table1[[#This Row],[Discount]] / 100))</f>
        <v>51900.927120000008</v>
      </c>
      <c r="F43" s="2">
        <f>Table1[[#This Row],[Quantity_Sold]] * ((Table1[[#This Row],[Unit_Price]] * (1 - (Table1[[#This Row],[Discount]] / 100))) - Table1[[#This Row],[Unit_Cost]])</f>
        <v>285.58712000000196</v>
      </c>
      <c r="G43" s="3">
        <v>14</v>
      </c>
      <c r="H43" t="s">
        <v>35</v>
      </c>
      <c r="I43">
        <v>3686.81</v>
      </c>
      <c r="J43" s="2">
        <v>3710.92</v>
      </c>
      <c r="K43" t="s">
        <v>30</v>
      </c>
      <c r="L43" s="4">
        <v>0.1</v>
      </c>
      <c r="M43" t="s">
        <v>27</v>
      </c>
      <c r="N43" t="s">
        <v>22</v>
      </c>
      <c r="O43" t="s">
        <v>40</v>
      </c>
    </row>
    <row r="44" spans="1:15" x14ac:dyDescent="0.25">
      <c r="A44" s="3">
        <v>1055</v>
      </c>
      <c r="B44" s="1">
        <v>45261</v>
      </c>
      <c r="C44" t="s">
        <v>33</v>
      </c>
      <c r="D44" t="s">
        <v>21</v>
      </c>
      <c r="E44" s="2">
        <f>Table1[[#This Row],[Quantity_Sold]] * Table1[[#This Row],[Unit_Price]] * (1 - (Table1[[#This Row],[Discount]] / 100))</f>
        <v>30667.440432000003</v>
      </c>
      <c r="F44" s="2">
        <f>Table1[[#This Row],[Quantity_Sold]] * ((Table1[[#This Row],[Unit_Price]] * (1 - (Table1[[#This Row],[Discount]] / 100))) - Table1[[#This Row],[Unit_Cost]])</f>
        <v>2563.4404320000031</v>
      </c>
      <c r="G44" s="3">
        <v>8</v>
      </c>
      <c r="H44" t="s">
        <v>16</v>
      </c>
      <c r="I44">
        <v>3513</v>
      </c>
      <c r="J44" s="2">
        <v>3838.42</v>
      </c>
      <c r="K44" t="s">
        <v>17</v>
      </c>
      <c r="L44" s="4">
        <v>0.13</v>
      </c>
      <c r="M44" t="s">
        <v>27</v>
      </c>
      <c r="N44" t="s">
        <v>19</v>
      </c>
      <c r="O44" t="s">
        <v>37</v>
      </c>
    </row>
    <row r="45" spans="1:15" x14ac:dyDescent="0.25">
      <c r="A45" s="3">
        <v>1064</v>
      </c>
      <c r="B45" s="1">
        <v>45060</v>
      </c>
      <c r="C45" t="s">
        <v>14</v>
      </c>
      <c r="D45" t="s">
        <v>25</v>
      </c>
      <c r="E45" s="2">
        <f>Table1[[#This Row],[Quantity_Sold]] * Table1[[#This Row],[Unit_Price]] * (1 - (Table1[[#This Row],[Discount]] / 100))</f>
        <v>35328.183072</v>
      </c>
      <c r="F45" s="2">
        <f>Table1[[#This Row],[Quantity_Sold]] * ((Table1[[#This Row],[Unit_Price]] * (1 - (Table1[[#This Row],[Discount]] / 100))) - Table1[[#This Row],[Unit_Cost]])</f>
        <v>1152.2630720000016</v>
      </c>
      <c r="G45" s="3">
        <v>8</v>
      </c>
      <c r="H45" t="s">
        <v>35</v>
      </c>
      <c r="I45">
        <v>4271.99</v>
      </c>
      <c r="J45" s="2">
        <v>4417.79</v>
      </c>
      <c r="K45" t="s">
        <v>17</v>
      </c>
      <c r="L45" s="4">
        <v>0.04</v>
      </c>
      <c r="M45" t="s">
        <v>18</v>
      </c>
      <c r="N45" t="s">
        <v>19</v>
      </c>
      <c r="O45" t="s">
        <v>32</v>
      </c>
    </row>
    <row r="46" spans="1:15" x14ac:dyDescent="0.25">
      <c r="A46" s="3">
        <v>1003</v>
      </c>
      <c r="B46" s="1">
        <v>45044</v>
      </c>
      <c r="C46" t="s">
        <v>33</v>
      </c>
      <c r="D46" t="s">
        <v>25</v>
      </c>
      <c r="E46" s="2">
        <f>Table1[[#This Row],[Quantity_Sold]] * Table1[[#This Row],[Unit_Price]] * (1 - (Table1[[#This Row],[Discount]] / 100))</f>
        <v>23039.600472000002</v>
      </c>
      <c r="F46" s="2">
        <f>Table1[[#This Row],[Quantity_Sold]] * ((Table1[[#This Row],[Unit_Price]] * (1 - (Table1[[#This Row],[Discount]] / 100))) - Table1[[#This Row],[Unit_Cost]])</f>
        <v>6209.9604719999988</v>
      </c>
      <c r="G46" s="3">
        <v>27</v>
      </c>
      <c r="H46" t="s">
        <v>16</v>
      </c>
      <c r="I46">
        <v>623.32000000000005</v>
      </c>
      <c r="J46" s="2">
        <v>853.66</v>
      </c>
      <c r="K46" t="s">
        <v>17</v>
      </c>
      <c r="L46" s="4">
        <v>0.04</v>
      </c>
      <c r="M46" t="s">
        <v>18</v>
      </c>
      <c r="N46" t="s">
        <v>19</v>
      </c>
      <c r="O46" t="s">
        <v>44</v>
      </c>
    </row>
    <row r="47" spans="1:15" x14ac:dyDescent="0.25">
      <c r="A47" s="3">
        <v>1051</v>
      </c>
      <c r="B47" s="1">
        <v>45020</v>
      </c>
      <c r="C47" t="s">
        <v>14</v>
      </c>
      <c r="D47" t="s">
        <v>34</v>
      </c>
      <c r="E47" s="2">
        <f>Table1[[#This Row],[Quantity_Sold]] * Table1[[#This Row],[Unit_Price]] * (1 - (Table1[[#This Row],[Discount]] / 100))</f>
        <v>44599.020551999994</v>
      </c>
      <c r="F47" s="2">
        <f>Table1[[#This Row],[Quantity_Sold]] * ((Table1[[#This Row],[Unit_Price]] * (1 - (Table1[[#This Row],[Discount]] / 100))) - Table1[[#This Row],[Unit_Cost]])</f>
        <v>2065.2605519999961</v>
      </c>
      <c r="G47" s="3">
        <v>12</v>
      </c>
      <c r="H47" t="s">
        <v>35</v>
      </c>
      <c r="I47">
        <v>3544.48</v>
      </c>
      <c r="J47" s="2">
        <v>3723.66</v>
      </c>
      <c r="K47" t="s">
        <v>17</v>
      </c>
      <c r="L47" s="4">
        <v>0.19</v>
      </c>
      <c r="M47" t="s">
        <v>18</v>
      </c>
      <c r="N47" t="s">
        <v>19</v>
      </c>
      <c r="O47" t="s">
        <v>46</v>
      </c>
    </row>
    <row r="48" spans="1:15" x14ac:dyDescent="0.25">
      <c r="A48" s="3">
        <v>1007</v>
      </c>
      <c r="B48" s="1">
        <v>44988</v>
      </c>
      <c r="C48" t="s">
        <v>38</v>
      </c>
      <c r="D48" t="s">
        <v>21</v>
      </c>
      <c r="E48" s="2">
        <f>Table1[[#This Row],[Quantity_Sold]] * Table1[[#This Row],[Unit_Price]] * (1 - (Table1[[#This Row],[Discount]] / 100))</f>
        <v>2632.63418</v>
      </c>
      <c r="F48" s="2">
        <f>Table1[[#This Row],[Quantity_Sold]] * ((Table1[[#This Row],[Unit_Price]] * (1 - (Table1[[#This Row],[Discount]] / 100))) - Table1[[#This Row],[Unit_Cost]])</f>
        <v>89.374179999999797</v>
      </c>
      <c r="G48" s="3">
        <v>1</v>
      </c>
      <c r="H48" t="s">
        <v>26</v>
      </c>
      <c r="I48">
        <v>2543.2600000000002</v>
      </c>
      <c r="J48" s="2">
        <v>2637.91</v>
      </c>
      <c r="K48" t="s">
        <v>17</v>
      </c>
      <c r="L48" s="4">
        <v>0.2</v>
      </c>
      <c r="M48" t="s">
        <v>31</v>
      </c>
      <c r="N48" t="s">
        <v>19</v>
      </c>
      <c r="O48" t="s">
        <v>41</v>
      </c>
    </row>
    <row r="49" spans="1:15" x14ac:dyDescent="0.25">
      <c r="A49" s="3">
        <v>1021</v>
      </c>
      <c r="B49" s="1">
        <v>45120</v>
      </c>
      <c r="C49" t="s">
        <v>14</v>
      </c>
      <c r="D49" t="s">
        <v>21</v>
      </c>
      <c r="E49" s="2">
        <f>Table1[[#This Row],[Quantity_Sold]] * Table1[[#This Row],[Unit_Price]] * (1 - (Table1[[#This Row],[Discount]] / 100))</f>
        <v>191728.018977</v>
      </c>
      <c r="F49" s="2">
        <f>Table1[[#This Row],[Quantity_Sold]] * ((Table1[[#This Row],[Unit_Price]] * (1 - (Table1[[#This Row],[Discount]] / 100))) - Table1[[#This Row],[Unit_Cost]])</f>
        <v>13093.118976999989</v>
      </c>
      <c r="G49" s="3">
        <v>43</v>
      </c>
      <c r="H49" t="s">
        <v>16</v>
      </c>
      <c r="I49">
        <v>4154.3</v>
      </c>
      <c r="J49" s="2">
        <v>4469.07</v>
      </c>
      <c r="K49" t="s">
        <v>17</v>
      </c>
      <c r="L49" s="4">
        <v>0.23</v>
      </c>
      <c r="M49" t="s">
        <v>18</v>
      </c>
      <c r="N49" t="s">
        <v>22</v>
      </c>
      <c r="O49" t="s">
        <v>23</v>
      </c>
    </row>
    <row r="50" spans="1:15" x14ac:dyDescent="0.25">
      <c r="A50" s="3">
        <v>1073</v>
      </c>
      <c r="B50" s="1">
        <v>45261</v>
      </c>
      <c r="C50" t="s">
        <v>24</v>
      </c>
      <c r="D50" t="s">
        <v>21</v>
      </c>
      <c r="E50" s="2">
        <f>Table1[[#This Row],[Quantity_Sold]] * Table1[[#This Row],[Unit_Price]] * (1 - (Table1[[#This Row],[Discount]] / 100))</f>
        <v>120094.29203999999</v>
      </c>
      <c r="F50" s="2">
        <f>Table1[[#This Row],[Quantity_Sold]] * ((Table1[[#This Row],[Unit_Price]] * (1 - (Table1[[#This Row],[Discount]] / 100))) - Table1[[#This Row],[Unit_Cost]])</f>
        <v>17482.292039999975</v>
      </c>
      <c r="G50" s="3">
        <v>40</v>
      </c>
      <c r="H50" t="s">
        <v>16</v>
      </c>
      <c r="I50">
        <v>2565.3000000000002</v>
      </c>
      <c r="J50" s="2">
        <v>3007.47</v>
      </c>
      <c r="K50" t="s">
        <v>17</v>
      </c>
      <c r="L50" s="4">
        <v>0.17</v>
      </c>
      <c r="M50" t="s">
        <v>31</v>
      </c>
      <c r="N50" t="s">
        <v>22</v>
      </c>
      <c r="O50" t="s">
        <v>47</v>
      </c>
    </row>
    <row r="51" spans="1:15" x14ac:dyDescent="0.25">
      <c r="A51" s="3">
        <v>1039</v>
      </c>
      <c r="B51" s="1">
        <v>45129</v>
      </c>
      <c r="C51" t="s">
        <v>42</v>
      </c>
      <c r="D51" t="s">
        <v>34</v>
      </c>
      <c r="E51" s="2">
        <f>Table1[[#This Row],[Quantity_Sold]] * Table1[[#This Row],[Unit_Price]] * (1 - (Table1[[#This Row],[Discount]] / 100))</f>
        <v>150918.58882800001</v>
      </c>
      <c r="F51" s="2">
        <f>Table1[[#This Row],[Quantity_Sold]] * ((Table1[[#This Row],[Unit_Price]] * (1 - (Table1[[#This Row],[Discount]] / 100))) - Table1[[#This Row],[Unit_Cost]])</f>
        <v>19870.608827999986</v>
      </c>
      <c r="G51" s="3">
        <v>42</v>
      </c>
      <c r="H51" t="s">
        <v>29</v>
      </c>
      <c r="I51">
        <v>3120.19</v>
      </c>
      <c r="J51" s="2">
        <v>3600.14</v>
      </c>
      <c r="K51" t="s">
        <v>17</v>
      </c>
      <c r="L51" s="4">
        <v>0.19</v>
      </c>
      <c r="M51" t="s">
        <v>31</v>
      </c>
      <c r="N51" t="s">
        <v>22</v>
      </c>
      <c r="O51" t="s">
        <v>52</v>
      </c>
    </row>
    <row r="52" spans="1:15" x14ac:dyDescent="0.25">
      <c r="A52" s="3">
        <v>1018</v>
      </c>
      <c r="B52" s="1">
        <v>44952</v>
      </c>
      <c r="C52" t="s">
        <v>42</v>
      </c>
      <c r="D52" t="s">
        <v>34</v>
      </c>
      <c r="E52" s="2">
        <f>Table1[[#This Row],[Quantity_Sold]] * Table1[[#This Row],[Unit_Price]] * (1 - (Table1[[#This Row],[Discount]] / 100))</f>
        <v>27709.77</v>
      </c>
      <c r="F52" s="2">
        <f>Table1[[#This Row],[Quantity_Sold]] * ((Table1[[#This Row],[Unit_Price]] * (1 - (Table1[[#This Row],[Discount]] / 100))) - Table1[[#This Row],[Unit_Cost]])</f>
        <v>1146.75</v>
      </c>
      <c r="G52" s="3">
        <v>11</v>
      </c>
      <c r="H52" t="s">
        <v>29</v>
      </c>
      <c r="I52">
        <v>2414.8200000000002</v>
      </c>
      <c r="J52" s="2">
        <v>2519.0700000000002</v>
      </c>
      <c r="K52" t="s">
        <v>17</v>
      </c>
      <c r="L52" s="4">
        <v>0</v>
      </c>
      <c r="M52" t="s">
        <v>18</v>
      </c>
      <c r="N52" t="s">
        <v>19</v>
      </c>
      <c r="O52" t="s">
        <v>52</v>
      </c>
    </row>
    <row r="53" spans="1:15" x14ac:dyDescent="0.25">
      <c r="A53" s="3">
        <v>1004</v>
      </c>
      <c r="B53" s="1">
        <v>45099</v>
      </c>
      <c r="C53" t="s">
        <v>38</v>
      </c>
      <c r="D53" t="s">
        <v>25</v>
      </c>
      <c r="E53" s="2">
        <f>Table1[[#This Row],[Quantity_Sold]] * Table1[[#This Row],[Unit_Price]] * (1 - (Table1[[#This Row],[Discount]] / 100))</f>
        <v>108303.42119999962</v>
      </c>
      <c r="F53" s="2">
        <f>Table1[[#This Row],[Quantity_Sold]] * ((Table1[[#This Row],[Unit_Price]] * (1 - (Table1[[#This Row],[Discount]] / 100))) - Table1[[#This Row],[Unit_Cost]])</f>
        <v>14044.711199999634</v>
      </c>
      <c r="G53" s="3">
        <v>39</v>
      </c>
      <c r="H53" t="s">
        <v>35</v>
      </c>
      <c r="I53">
        <v>2416.89</v>
      </c>
      <c r="J53" s="2">
        <v>2778.3999999999901</v>
      </c>
      <c r="K53" t="s">
        <v>17</v>
      </c>
      <c r="L53" s="4">
        <v>0.05</v>
      </c>
      <c r="M53" t="s">
        <v>18</v>
      </c>
      <c r="N53" t="s">
        <v>19</v>
      </c>
      <c r="O53" t="s">
        <v>39</v>
      </c>
    </row>
    <row r="54" spans="1:15" x14ac:dyDescent="0.25">
      <c r="A54" s="3">
        <v>1089</v>
      </c>
      <c r="B54" s="1">
        <v>45226</v>
      </c>
      <c r="C54" t="s">
        <v>24</v>
      </c>
      <c r="D54" t="s">
        <v>15</v>
      </c>
      <c r="E54" s="2">
        <f>Table1[[#This Row],[Quantity_Sold]] * Table1[[#This Row],[Unit_Price]] * (1 - (Table1[[#This Row],[Discount]] / 100))</f>
        <v>179500.01957999999</v>
      </c>
      <c r="F54" s="2">
        <f>Table1[[#This Row],[Quantity_Sold]] * ((Table1[[#This Row],[Unit_Price]] * (1 - (Table1[[#This Row],[Discount]] / 100))) - Table1[[#This Row],[Unit_Cost]])</f>
        <v>13887.669579999976</v>
      </c>
      <c r="G54" s="3">
        <v>43</v>
      </c>
      <c r="H54" t="s">
        <v>16</v>
      </c>
      <c r="I54">
        <v>3851.45</v>
      </c>
      <c r="J54" s="2">
        <v>4186.9799999999996</v>
      </c>
      <c r="K54" t="s">
        <v>17</v>
      </c>
      <c r="L54" s="4">
        <v>0.3</v>
      </c>
      <c r="M54" t="s">
        <v>31</v>
      </c>
      <c r="N54" t="s">
        <v>19</v>
      </c>
      <c r="O54" t="s">
        <v>45</v>
      </c>
    </row>
    <row r="55" spans="1:15" x14ac:dyDescent="0.25">
      <c r="A55" s="3">
        <v>1060</v>
      </c>
      <c r="B55" s="1">
        <v>45059</v>
      </c>
      <c r="C55" t="s">
        <v>33</v>
      </c>
      <c r="D55" t="s">
        <v>21</v>
      </c>
      <c r="E55" s="2">
        <f>Table1[[#This Row],[Quantity_Sold]] * Table1[[#This Row],[Unit_Price]] * (1 - (Table1[[#This Row],[Discount]] / 100))</f>
        <v>103508.75410799999</v>
      </c>
      <c r="F55" s="2">
        <f>Table1[[#This Row],[Quantity_Sold]] * ((Table1[[#This Row],[Unit_Price]] * (1 - (Table1[[#This Row],[Discount]] / 100))) - Table1[[#This Row],[Unit_Cost]])</f>
        <v>5505.3541079999977</v>
      </c>
      <c r="G55" s="3">
        <v>31</v>
      </c>
      <c r="H55" t="s">
        <v>35</v>
      </c>
      <c r="I55">
        <v>3161.4</v>
      </c>
      <c r="J55" s="2">
        <v>3339.66</v>
      </c>
      <c r="K55" t="s">
        <v>17</v>
      </c>
      <c r="L55" s="4">
        <v>0.02</v>
      </c>
      <c r="M55" t="s">
        <v>27</v>
      </c>
      <c r="N55" t="s">
        <v>19</v>
      </c>
      <c r="O55" t="s">
        <v>37</v>
      </c>
    </row>
    <row r="56" spans="1:15" x14ac:dyDescent="0.25">
      <c r="A56" s="3">
        <v>1014</v>
      </c>
      <c r="B56" s="1">
        <v>45252</v>
      </c>
      <c r="C56" t="s">
        <v>24</v>
      </c>
      <c r="D56" t="s">
        <v>21</v>
      </c>
      <c r="E56" s="2">
        <f>Table1[[#This Row],[Quantity_Sold]] * Table1[[#This Row],[Unit_Price]] * (1 - (Table1[[#This Row],[Discount]] / 100))</f>
        <v>54359.233660000005</v>
      </c>
      <c r="F56" s="2">
        <f>Table1[[#This Row],[Quantity_Sold]] * ((Table1[[#This Row],[Unit_Price]] * (1 - (Table1[[#This Row],[Discount]] / 100))) - Table1[[#This Row],[Unit_Cost]])</f>
        <v>220.18366000000469</v>
      </c>
      <c r="G56" s="3">
        <v>17</v>
      </c>
      <c r="H56" t="s">
        <v>26</v>
      </c>
      <c r="I56">
        <v>3184.65</v>
      </c>
      <c r="J56" s="2">
        <v>3204.01</v>
      </c>
      <c r="K56" t="s">
        <v>30</v>
      </c>
      <c r="L56" s="4">
        <v>0.2</v>
      </c>
      <c r="M56" t="s">
        <v>27</v>
      </c>
      <c r="N56" t="s">
        <v>19</v>
      </c>
      <c r="O56" t="s">
        <v>47</v>
      </c>
    </row>
    <row r="57" spans="1:15" x14ac:dyDescent="0.25">
      <c r="A57" s="3">
        <v>1009</v>
      </c>
      <c r="B57" s="1">
        <v>45044</v>
      </c>
      <c r="C57" t="s">
        <v>42</v>
      </c>
      <c r="D57" t="s">
        <v>15</v>
      </c>
      <c r="E57" s="2">
        <f>Table1[[#This Row],[Quantity_Sold]] * Table1[[#This Row],[Unit_Price]] * (1 - (Table1[[#This Row],[Discount]] / 100))</f>
        <v>86644.356150000007</v>
      </c>
      <c r="F57" s="2">
        <f>Table1[[#This Row],[Quantity_Sold]] * ((Table1[[#This Row],[Unit_Price]] * (1 - (Table1[[#This Row],[Discount]] / 100))) - Table1[[#This Row],[Unit_Cost]])</f>
        <v>11440.656150000012</v>
      </c>
      <c r="G57" s="3">
        <v>33</v>
      </c>
      <c r="H57" t="s">
        <v>29</v>
      </c>
      <c r="I57">
        <v>2278.9</v>
      </c>
      <c r="J57" s="2">
        <v>2626.9</v>
      </c>
      <c r="K57" t="s">
        <v>30</v>
      </c>
      <c r="L57" s="4">
        <v>0.05</v>
      </c>
      <c r="M57" t="s">
        <v>31</v>
      </c>
      <c r="N57" t="s">
        <v>19</v>
      </c>
      <c r="O57" t="s">
        <v>49</v>
      </c>
    </row>
    <row r="58" spans="1:15" x14ac:dyDescent="0.25">
      <c r="A58" s="3">
        <v>1090</v>
      </c>
      <c r="B58" s="1">
        <v>45250</v>
      </c>
      <c r="C58" t="s">
        <v>42</v>
      </c>
      <c r="D58" t="s">
        <v>21</v>
      </c>
      <c r="E58" s="2">
        <f>Table1[[#This Row],[Quantity_Sold]] * Table1[[#This Row],[Unit_Price]] * (1 - (Table1[[#This Row],[Discount]] / 100))</f>
        <v>100651.03948799969</v>
      </c>
      <c r="F58" s="2">
        <f>Table1[[#This Row],[Quantity_Sold]] * ((Table1[[#This Row],[Unit_Price]] * (1 - (Table1[[#This Row],[Discount]] / 100))) - Table1[[#This Row],[Unit_Cost]])</f>
        <v>14923.359487999696</v>
      </c>
      <c r="G58" s="3">
        <v>32</v>
      </c>
      <c r="H58" t="s">
        <v>35</v>
      </c>
      <c r="I58">
        <v>2678.99</v>
      </c>
      <c r="J58" s="2">
        <v>3152.2799999999902</v>
      </c>
      <c r="K58" t="s">
        <v>17</v>
      </c>
      <c r="L58" s="4">
        <v>0.22</v>
      </c>
      <c r="M58" t="s">
        <v>18</v>
      </c>
      <c r="N58" t="s">
        <v>22</v>
      </c>
      <c r="O58" t="s">
        <v>51</v>
      </c>
    </row>
    <row r="59" spans="1:15" x14ac:dyDescent="0.25">
      <c r="A59" s="3">
        <v>1053</v>
      </c>
      <c r="B59" s="1">
        <v>45201</v>
      </c>
      <c r="C59" t="s">
        <v>24</v>
      </c>
      <c r="D59" t="s">
        <v>34</v>
      </c>
      <c r="E59" s="2">
        <f>Table1[[#This Row],[Quantity_Sold]] * Table1[[#This Row],[Unit_Price]] * (1 - (Table1[[#This Row],[Discount]] / 100))</f>
        <v>117522.84266400001</v>
      </c>
      <c r="F59" s="2">
        <f>Table1[[#This Row],[Quantity_Sold]] * ((Table1[[#This Row],[Unit_Price]] * (1 - (Table1[[#This Row],[Discount]] / 100))) - Table1[[#This Row],[Unit_Cost]])</f>
        <v>9025.1426639999991</v>
      </c>
      <c r="G59" s="3">
        <v>29</v>
      </c>
      <c r="H59" t="s">
        <v>35</v>
      </c>
      <c r="I59">
        <v>3741.3</v>
      </c>
      <c r="J59" s="2">
        <v>4061.04</v>
      </c>
      <c r="K59" t="s">
        <v>17</v>
      </c>
      <c r="L59" s="4">
        <v>0.21</v>
      </c>
      <c r="M59" t="s">
        <v>31</v>
      </c>
      <c r="N59" t="s">
        <v>19</v>
      </c>
      <c r="O59" t="s">
        <v>50</v>
      </c>
    </row>
    <row r="60" spans="1:15" x14ac:dyDescent="0.25">
      <c r="A60" s="3">
        <v>1002</v>
      </c>
      <c r="B60" s="1">
        <v>45138</v>
      </c>
      <c r="C60" t="s">
        <v>24</v>
      </c>
      <c r="D60" t="s">
        <v>34</v>
      </c>
      <c r="E60" s="2">
        <f>Table1[[#This Row],[Quantity_Sold]] * Table1[[#This Row],[Unit_Price]] * (1 - (Table1[[#This Row],[Discount]] / 100))</f>
        <v>91531.583009999988</v>
      </c>
      <c r="F60" s="2">
        <f>Table1[[#This Row],[Quantity_Sold]] * ((Table1[[#This Row],[Unit_Price]] * (1 - (Table1[[#This Row],[Discount]] / 100))) - Table1[[#This Row],[Unit_Cost]])</f>
        <v>4624.9730099999879</v>
      </c>
      <c r="G60" s="3">
        <v>21</v>
      </c>
      <c r="H60" t="s">
        <v>29</v>
      </c>
      <c r="I60">
        <v>4138.41</v>
      </c>
      <c r="J60" s="2">
        <v>4361.7</v>
      </c>
      <c r="K60" t="s">
        <v>17</v>
      </c>
      <c r="L60" s="4">
        <v>7.0000000000000007E-2</v>
      </c>
      <c r="M60" t="s">
        <v>31</v>
      </c>
      <c r="N60" t="s">
        <v>22</v>
      </c>
      <c r="O60" t="s">
        <v>50</v>
      </c>
    </row>
    <row r="61" spans="1:15" x14ac:dyDescent="0.25">
      <c r="A61" s="3">
        <v>1084</v>
      </c>
      <c r="B61" s="1">
        <v>45151</v>
      </c>
      <c r="C61" t="s">
        <v>42</v>
      </c>
      <c r="D61" t="s">
        <v>21</v>
      </c>
      <c r="E61" s="2">
        <f>Table1[[#This Row],[Quantity_Sold]] * Table1[[#This Row],[Unit_Price]] * (1 - (Table1[[#This Row],[Discount]] / 100))</f>
        <v>79008.252791999999</v>
      </c>
      <c r="F61" s="2">
        <f>Table1[[#This Row],[Quantity_Sold]] * ((Table1[[#This Row],[Unit_Price]] * (1 - (Table1[[#This Row],[Discount]] / 100))) - Table1[[#This Row],[Unit_Cost]])</f>
        <v>5550.6727919999985</v>
      </c>
      <c r="G61" s="3">
        <v>21</v>
      </c>
      <c r="H61" t="s">
        <v>16</v>
      </c>
      <c r="I61">
        <v>3497.98</v>
      </c>
      <c r="J61" s="2">
        <v>3765.31</v>
      </c>
      <c r="K61" t="s">
        <v>30</v>
      </c>
      <c r="L61" s="4">
        <v>0.08</v>
      </c>
      <c r="M61" t="s">
        <v>18</v>
      </c>
      <c r="N61" t="s">
        <v>19</v>
      </c>
      <c r="O61" t="s">
        <v>51</v>
      </c>
    </row>
    <row r="62" spans="1:15" x14ac:dyDescent="0.25">
      <c r="A62" s="3">
        <v>1092</v>
      </c>
      <c r="B62" s="1">
        <v>44946</v>
      </c>
      <c r="C62" t="s">
        <v>33</v>
      </c>
      <c r="D62" t="s">
        <v>34</v>
      </c>
      <c r="E62" s="2">
        <f>Table1[[#This Row],[Quantity_Sold]] * Table1[[#This Row],[Unit_Price]] * (1 - (Table1[[#This Row],[Discount]] / 100))</f>
        <v>188900.64159999997</v>
      </c>
      <c r="F62" s="2">
        <f>Table1[[#This Row],[Quantity_Sold]] * ((Table1[[#This Row],[Unit_Price]] * (1 - (Table1[[#This Row],[Discount]] / 100))) - Table1[[#This Row],[Unit_Cost]])</f>
        <v>3934.2415999999866</v>
      </c>
      <c r="G62" s="3">
        <v>40</v>
      </c>
      <c r="H62" t="s">
        <v>35</v>
      </c>
      <c r="I62">
        <v>4624.16</v>
      </c>
      <c r="J62" s="2">
        <v>4731.9799999999996</v>
      </c>
      <c r="K62" t="s">
        <v>30</v>
      </c>
      <c r="L62" s="4">
        <v>0.2</v>
      </c>
      <c r="M62" t="s">
        <v>27</v>
      </c>
      <c r="N62" t="s">
        <v>22</v>
      </c>
      <c r="O62" t="s">
        <v>36</v>
      </c>
    </row>
    <row r="63" spans="1:15" x14ac:dyDescent="0.25">
      <c r="A63" s="3">
        <v>1060</v>
      </c>
      <c r="B63" s="1">
        <v>45039</v>
      </c>
      <c r="C63" t="s">
        <v>38</v>
      </c>
      <c r="D63" t="s">
        <v>34</v>
      </c>
      <c r="E63" s="2">
        <f>Table1[[#This Row],[Quantity_Sold]] * Table1[[#This Row],[Unit_Price]] * (1 - (Table1[[#This Row],[Discount]] / 100))</f>
        <v>103108.63098799999</v>
      </c>
      <c r="F63" s="2">
        <f>Table1[[#This Row],[Quantity_Sold]] * ((Table1[[#This Row],[Unit_Price]] * (1 - (Table1[[#This Row],[Discount]] / 100))) - Table1[[#This Row],[Unit_Cost]])</f>
        <v>8564.8309879999924</v>
      </c>
      <c r="G63" s="3">
        <v>23</v>
      </c>
      <c r="H63" t="s">
        <v>29</v>
      </c>
      <c r="I63">
        <v>4110.6000000000004</v>
      </c>
      <c r="J63" s="2">
        <v>4488.37</v>
      </c>
      <c r="K63" t="s">
        <v>30</v>
      </c>
      <c r="L63" s="4">
        <v>0.12</v>
      </c>
      <c r="M63" t="s">
        <v>31</v>
      </c>
      <c r="N63" t="s">
        <v>19</v>
      </c>
      <c r="O63" t="s">
        <v>48</v>
      </c>
    </row>
    <row r="64" spans="1:15" x14ac:dyDescent="0.25">
      <c r="A64" s="3">
        <v>1071</v>
      </c>
      <c r="B64" s="1">
        <v>45066</v>
      </c>
      <c r="C64" t="s">
        <v>38</v>
      </c>
      <c r="D64" t="s">
        <v>21</v>
      </c>
      <c r="E64" s="2">
        <f>Table1[[#This Row],[Quantity_Sold]] * Table1[[#This Row],[Unit_Price]] * (1 - (Table1[[#This Row],[Discount]] / 100))</f>
        <v>19230.334871999999</v>
      </c>
      <c r="F64" s="2">
        <f>Table1[[#This Row],[Quantity_Sold]] * ((Table1[[#This Row],[Unit_Price]] * (1 - (Table1[[#This Row],[Discount]] / 100))) - Table1[[#This Row],[Unit_Cost]])</f>
        <v>2242.9548720000003</v>
      </c>
      <c r="G64" s="3">
        <v>6</v>
      </c>
      <c r="H64" t="s">
        <v>16</v>
      </c>
      <c r="I64">
        <v>2831.23</v>
      </c>
      <c r="J64" s="2">
        <v>3206.98</v>
      </c>
      <c r="K64" t="s">
        <v>17</v>
      </c>
      <c r="L64" s="4">
        <v>0.06</v>
      </c>
      <c r="M64" t="s">
        <v>27</v>
      </c>
      <c r="N64" t="s">
        <v>22</v>
      </c>
      <c r="O64" t="s">
        <v>41</v>
      </c>
    </row>
    <row r="65" spans="1:15" x14ac:dyDescent="0.25">
      <c r="A65" s="3">
        <v>1044</v>
      </c>
      <c r="B65" s="1">
        <v>44973</v>
      </c>
      <c r="C65" t="s">
        <v>24</v>
      </c>
      <c r="D65" t="s">
        <v>25</v>
      </c>
      <c r="E65" s="2">
        <f>Table1[[#This Row],[Quantity_Sold]] * Table1[[#This Row],[Unit_Price]] * (1 - (Table1[[#This Row],[Discount]] / 100))</f>
        <v>75837.509615999996</v>
      </c>
      <c r="F65" s="2">
        <f>Table1[[#This Row],[Quantity_Sold]] * ((Table1[[#This Row],[Unit_Price]] * (1 - (Table1[[#This Row],[Discount]] / 100))) - Table1[[#This Row],[Unit_Cost]])</f>
        <v>1621.3896160000022</v>
      </c>
      <c r="G65" s="3">
        <v>22</v>
      </c>
      <c r="H65" t="s">
        <v>26</v>
      </c>
      <c r="I65">
        <v>3373.46</v>
      </c>
      <c r="J65" s="2">
        <v>3454.76</v>
      </c>
      <c r="K65" t="s">
        <v>17</v>
      </c>
      <c r="L65" s="4">
        <v>0.22</v>
      </c>
      <c r="M65" t="s">
        <v>27</v>
      </c>
      <c r="N65" t="s">
        <v>22</v>
      </c>
      <c r="O65" t="s">
        <v>28</v>
      </c>
    </row>
    <row r="66" spans="1:15" x14ac:dyDescent="0.25">
      <c r="A66" s="3">
        <v>1008</v>
      </c>
      <c r="B66" s="1">
        <v>44927</v>
      </c>
      <c r="C66" t="s">
        <v>38</v>
      </c>
      <c r="D66" t="s">
        <v>15</v>
      </c>
      <c r="E66" s="2">
        <f>Table1[[#This Row],[Quantity_Sold]] * Table1[[#This Row],[Unit_Price]] * (1 - (Table1[[#This Row],[Discount]] / 100))</f>
        <v>192770.28663999998</v>
      </c>
      <c r="F66" s="2">
        <f>Table1[[#This Row],[Quantity_Sold]] * ((Table1[[#This Row],[Unit_Price]] * (1 - (Table1[[#This Row],[Discount]] / 100))) - Table1[[#This Row],[Unit_Cost]])</f>
        <v>16631.546640000026</v>
      </c>
      <c r="G66" s="3">
        <v>38</v>
      </c>
      <c r="H66" t="s">
        <v>29</v>
      </c>
      <c r="I66">
        <v>4635.2299999999996</v>
      </c>
      <c r="J66" s="2">
        <v>5075.4399999999996</v>
      </c>
      <c r="K66" t="s">
        <v>17</v>
      </c>
      <c r="L66" s="4">
        <v>0.05</v>
      </c>
      <c r="M66" t="s">
        <v>18</v>
      </c>
      <c r="N66" t="s">
        <v>19</v>
      </c>
      <c r="O66" t="s">
        <v>40</v>
      </c>
    </row>
    <row r="67" spans="1:15" x14ac:dyDescent="0.25">
      <c r="A67" s="3">
        <v>1047</v>
      </c>
      <c r="B67" s="1">
        <v>45016</v>
      </c>
      <c r="C67" t="s">
        <v>42</v>
      </c>
      <c r="D67" t="s">
        <v>34</v>
      </c>
      <c r="E67" s="2">
        <f>Table1[[#This Row],[Quantity_Sold]] * Table1[[#This Row],[Unit_Price]] * (1 - (Table1[[#This Row],[Discount]] / 100))</f>
        <v>120187.557764</v>
      </c>
      <c r="F67" s="2">
        <f>Table1[[#This Row],[Quantity_Sold]] * ((Table1[[#This Row],[Unit_Price]] * (1 - (Table1[[#This Row],[Discount]] / 100))) - Table1[[#This Row],[Unit_Cost]])</f>
        <v>4936.9977639999906</v>
      </c>
      <c r="G67" s="3">
        <v>37</v>
      </c>
      <c r="H67" t="s">
        <v>35</v>
      </c>
      <c r="I67">
        <v>3114.88</v>
      </c>
      <c r="J67" s="2">
        <v>3256.78</v>
      </c>
      <c r="K67" t="s">
        <v>17</v>
      </c>
      <c r="L67" s="4">
        <v>0.26</v>
      </c>
      <c r="M67" t="s">
        <v>31</v>
      </c>
      <c r="N67" t="s">
        <v>19</v>
      </c>
      <c r="O67" t="s">
        <v>52</v>
      </c>
    </row>
    <row r="68" spans="1:15" x14ac:dyDescent="0.25">
      <c r="A68" s="3">
        <v>1035</v>
      </c>
      <c r="B68" s="1">
        <v>45068</v>
      </c>
      <c r="C68" t="s">
        <v>42</v>
      </c>
      <c r="D68" t="s">
        <v>25</v>
      </c>
      <c r="E68" s="2">
        <f>Table1[[#This Row],[Quantity_Sold]] * Table1[[#This Row],[Unit_Price]] * (1 - (Table1[[#This Row],[Discount]] / 100))</f>
        <v>207772.37325000003</v>
      </c>
      <c r="F68" s="2">
        <f>Table1[[#This Row],[Quantity_Sold]] * ((Table1[[#This Row],[Unit_Price]] * (1 - (Table1[[#This Row],[Discount]] / 100))) - Table1[[#This Row],[Unit_Cost]])</f>
        <v>21796.823250000038</v>
      </c>
      <c r="G68" s="3">
        <v>45</v>
      </c>
      <c r="H68" t="s">
        <v>26</v>
      </c>
      <c r="I68">
        <v>4132.79</v>
      </c>
      <c r="J68" s="2">
        <v>4624.1000000000004</v>
      </c>
      <c r="K68" t="s">
        <v>30</v>
      </c>
      <c r="L68" s="4">
        <v>0.15</v>
      </c>
      <c r="M68" t="s">
        <v>31</v>
      </c>
      <c r="N68" t="s">
        <v>22</v>
      </c>
      <c r="O68" t="s">
        <v>43</v>
      </c>
    </row>
    <row r="69" spans="1:15" x14ac:dyDescent="0.25">
      <c r="A69" s="3">
        <v>1078</v>
      </c>
      <c r="B69" s="1">
        <v>45246</v>
      </c>
      <c r="C69" t="s">
        <v>24</v>
      </c>
      <c r="D69" t="s">
        <v>34</v>
      </c>
      <c r="E69" s="2">
        <f>Table1[[#This Row],[Quantity_Sold]] * Table1[[#This Row],[Unit_Price]] * (1 - (Table1[[#This Row],[Discount]] / 100))</f>
        <v>29249.062648000003</v>
      </c>
      <c r="F69" s="2">
        <f>Table1[[#This Row],[Quantity_Sold]] * ((Table1[[#This Row],[Unit_Price]] * (1 - (Table1[[#This Row],[Discount]] / 100))) - Table1[[#This Row],[Unit_Cost]])</f>
        <v>1572.1826480000018</v>
      </c>
      <c r="G69" s="3">
        <v>8</v>
      </c>
      <c r="H69" t="s">
        <v>16</v>
      </c>
      <c r="I69">
        <v>3459.61</v>
      </c>
      <c r="J69" s="2">
        <v>3657.23</v>
      </c>
      <c r="K69" t="s">
        <v>17</v>
      </c>
      <c r="L69" s="4">
        <v>0.03</v>
      </c>
      <c r="M69" t="s">
        <v>27</v>
      </c>
      <c r="N69" t="s">
        <v>19</v>
      </c>
      <c r="O69" t="s">
        <v>50</v>
      </c>
    </row>
    <row r="70" spans="1:15" x14ac:dyDescent="0.25">
      <c r="A70" s="3">
        <v>1081</v>
      </c>
      <c r="B70" s="1">
        <v>44964</v>
      </c>
      <c r="C70" t="s">
        <v>24</v>
      </c>
      <c r="D70" t="s">
        <v>34</v>
      </c>
      <c r="E70" s="2">
        <f>Table1[[#This Row],[Quantity_Sold]] * Table1[[#This Row],[Unit_Price]] * (1 - (Table1[[#This Row],[Discount]] / 100))</f>
        <v>117800.93743599999</v>
      </c>
      <c r="F70" s="2">
        <f>Table1[[#This Row],[Quantity_Sold]] * ((Table1[[#This Row],[Unit_Price]] * (1 - (Table1[[#This Row],[Discount]] / 100))) - Table1[[#This Row],[Unit_Cost]])</f>
        <v>3735.6574359999872</v>
      </c>
      <c r="G70" s="3">
        <v>41</v>
      </c>
      <c r="H70" t="s">
        <v>16</v>
      </c>
      <c r="I70">
        <v>2782.08</v>
      </c>
      <c r="J70" s="2">
        <v>2879.24</v>
      </c>
      <c r="K70" t="s">
        <v>30</v>
      </c>
      <c r="L70" s="4">
        <v>0.21</v>
      </c>
      <c r="M70" t="s">
        <v>27</v>
      </c>
      <c r="N70" t="s">
        <v>19</v>
      </c>
      <c r="O70" t="s">
        <v>50</v>
      </c>
    </row>
    <row r="71" spans="1:15" x14ac:dyDescent="0.25">
      <c r="A71" s="3">
        <v>1036</v>
      </c>
      <c r="B71" s="1">
        <v>45219</v>
      </c>
      <c r="C71" t="s">
        <v>24</v>
      </c>
      <c r="D71" t="s">
        <v>15</v>
      </c>
      <c r="E71" s="2">
        <f>Table1[[#This Row],[Quantity_Sold]] * Table1[[#This Row],[Unit_Price]] * (1 - (Table1[[#This Row],[Discount]] / 100))</f>
        <v>69930.491903999515</v>
      </c>
      <c r="F71" s="2">
        <f>Table1[[#This Row],[Quantity_Sold]] * ((Table1[[#This Row],[Unit_Price]] * (1 - (Table1[[#This Row],[Discount]] / 100))) - Table1[[#This Row],[Unit_Cost]])</f>
        <v>8822.5919039995169</v>
      </c>
      <c r="G71" s="3">
        <v>49</v>
      </c>
      <c r="H71" t="s">
        <v>29</v>
      </c>
      <c r="I71">
        <v>1247.0999999999999</v>
      </c>
      <c r="J71" s="2">
        <v>1429.4399999999901</v>
      </c>
      <c r="K71" t="s">
        <v>30</v>
      </c>
      <c r="L71" s="4">
        <v>0.16</v>
      </c>
      <c r="M71" t="s">
        <v>18</v>
      </c>
      <c r="N71" t="s">
        <v>19</v>
      </c>
      <c r="O71" t="s">
        <v>45</v>
      </c>
    </row>
    <row r="72" spans="1:15" x14ac:dyDescent="0.25">
      <c r="A72" s="3">
        <v>1050</v>
      </c>
      <c r="B72" s="1">
        <v>45065</v>
      </c>
      <c r="C72" t="s">
        <v>33</v>
      </c>
      <c r="D72" t="s">
        <v>34</v>
      </c>
      <c r="E72" s="2">
        <f>Table1[[#This Row],[Quantity_Sold]] * Table1[[#This Row],[Unit_Price]] * (1 - (Table1[[#This Row],[Discount]] / 100))</f>
        <v>83378.192030000006</v>
      </c>
      <c r="F72" s="2">
        <f>Table1[[#This Row],[Quantity_Sold]] * ((Table1[[#This Row],[Unit_Price]] * (1 - (Table1[[#This Row],[Discount]] / 100))) - Table1[[#This Row],[Unit_Cost]])</f>
        <v>7824.0420299999987</v>
      </c>
      <c r="G72" s="3">
        <v>35</v>
      </c>
      <c r="H72" t="s">
        <v>29</v>
      </c>
      <c r="I72">
        <v>2158.69</v>
      </c>
      <c r="J72" s="2">
        <v>2384.38</v>
      </c>
      <c r="K72" t="s">
        <v>17</v>
      </c>
      <c r="L72" s="4">
        <v>0.09</v>
      </c>
      <c r="M72" t="s">
        <v>27</v>
      </c>
      <c r="N72" t="s">
        <v>22</v>
      </c>
      <c r="O72" t="s">
        <v>36</v>
      </c>
    </row>
    <row r="73" spans="1:15" x14ac:dyDescent="0.25">
      <c r="A73" s="3">
        <v>1004</v>
      </c>
      <c r="B73" s="1">
        <v>45282</v>
      </c>
      <c r="C73" t="s">
        <v>38</v>
      </c>
      <c r="D73" t="s">
        <v>15</v>
      </c>
      <c r="E73" s="2">
        <f>Table1[[#This Row],[Quantity_Sold]] * Table1[[#This Row],[Unit_Price]] * (1 - (Table1[[#This Row],[Discount]] / 100))</f>
        <v>53657.344653000007</v>
      </c>
      <c r="F73" s="2">
        <f>Table1[[#This Row],[Quantity_Sold]] * ((Table1[[#This Row],[Unit_Price]] * (1 - (Table1[[#This Row],[Discount]] / 100))) - Table1[[#This Row],[Unit_Cost]])</f>
        <v>413.71465300000091</v>
      </c>
      <c r="G73" s="3">
        <v>11</v>
      </c>
      <c r="H73" t="s">
        <v>29</v>
      </c>
      <c r="I73">
        <v>4840.33</v>
      </c>
      <c r="J73" s="2">
        <v>4884.29</v>
      </c>
      <c r="K73" t="s">
        <v>30</v>
      </c>
      <c r="L73" s="4">
        <v>0.13</v>
      </c>
      <c r="M73" t="s">
        <v>18</v>
      </c>
      <c r="N73" t="s">
        <v>19</v>
      </c>
      <c r="O73" t="s">
        <v>40</v>
      </c>
    </row>
    <row r="74" spans="1:15" x14ac:dyDescent="0.25">
      <c r="A74" s="3">
        <v>1002</v>
      </c>
      <c r="B74" s="1">
        <v>45259</v>
      </c>
      <c r="C74" t="s">
        <v>24</v>
      </c>
      <c r="D74" t="s">
        <v>15</v>
      </c>
      <c r="E74" s="2">
        <f>Table1[[#This Row],[Quantity_Sold]] * Table1[[#This Row],[Unit_Price]] * (1 - (Table1[[#This Row],[Discount]] / 100))</f>
        <v>86304.735767999999</v>
      </c>
      <c r="F74" s="2">
        <f>Table1[[#This Row],[Quantity_Sold]] * ((Table1[[#This Row],[Unit_Price]] * (1 - (Table1[[#This Row],[Discount]] / 100))) - Table1[[#This Row],[Unit_Cost]])</f>
        <v>6962.1757679999937</v>
      </c>
      <c r="G74" s="3">
        <v>24</v>
      </c>
      <c r="H74" t="s">
        <v>16</v>
      </c>
      <c r="I74">
        <v>3305.94</v>
      </c>
      <c r="J74" s="2">
        <v>3599.27</v>
      </c>
      <c r="K74" t="s">
        <v>30</v>
      </c>
      <c r="L74" s="4">
        <v>0.09</v>
      </c>
      <c r="M74" t="s">
        <v>31</v>
      </c>
      <c r="N74" t="s">
        <v>22</v>
      </c>
      <c r="O74" t="s">
        <v>45</v>
      </c>
    </row>
    <row r="75" spans="1:15" x14ac:dyDescent="0.25">
      <c r="A75" s="3">
        <v>1006</v>
      </c>
      <c r="B75" s="1">
        <v>45185</v>
      </c>
      <c r="C75" t="s">
        <v>14</v>
      </c>
      <c r="D75" t="s">
        <v>15</v>
      </c>
      <c r="E75" s="2">
        <f>Table1[[#This Row],[Quantity_Sold]] * Table1[[#This Row],[Unit_Price]] * (1 - (Table1[[#This Row],[Discount]] / 100))</f>
        <v>154060.05327999999</v>
      </c>
      <c r="F75" s="2">
        <f>Table1[[#This Row],[Quantity_Sold]] * ((Table1[[#This Row],[Unit_Price]] * (1 - (Table1[[#This Row],[Discount]] / 100))) - Table1[[#This Row],[Unit_Cost]])</f>
        <v>14715.813279999984</v>
      </c>
      <c r="G75" s="3">
        <v>49</v>
      </c>
      <c r="H75" t="s">
        <v>26</v>
      </c>
      <c r="I75">
        <v>2843.76</v>
      </c>
      <c r="J75" s="2">
        <v>3146.6</v>
      </c>
      <c r="K75" t="s">
        <v>30</v>
      </c>
      <c r="L75" s="4">
        <v>0.08</v>
      </c>
      <c r="M75" t="s">
        <v>18</v>
      </c>
      <c r="N75" t="s">
        <v>22</v>
      </c>
      <c r="O75" t="s">
        <v>20</v>
      </c>
    </row>
    <row r="76" spans="1:15" x14ac:dyDescent="0.25">
      <c r="A76" s="3">
        <v>1054</v>
      </c>
      <c r="B76" s="1">
        <v>45087</v>
      </c>
      <c r="C76" t="s">
        <v>14</v>
      </c>
      <c r="D76" t="s">
        <v>25</v>
      </c>
      <c r="E76" s="2">
        <f>Table1[[#This Row],[Quantity_Sold]] * Table1[[#This Row],[Unit_Price]] * (1 - (Table1[[#This Row],[Discount]] / 100))</f>
        <v>105791.69769000002</v>
      </c>
      <c r="F76" s="2">
        <f>Table1[[#This Row],[Quantity_Sold]] * ((Table1[[#This Row],[Unit_Price]] * (1 - (Table1[[#This Row],[Discount]] / 100))) - Table1[[#This Row],[Unit_Cost]])</f>
        <v>7760.7576900000095</v>
      </c>
      <c r="G76" s="3">
        <v>21</v>
      </c>
      <c r="H76" t="s">
        <v>16</v>
      </c>
      <c r="I76">
        <v>4668.1400000000003</v>
      </c>
      <c r="J76" s="2">
        <v>5040.22</v>
      </c>
      <c r="K76" t="s">
        <v>30</v>
      </c>
      <c r="L76" s="4">
        <v>0.05</v>
      </c>
      <c r="M76" t="s">
        <v>27</v>
      </c>
      <c r="N76" t="s">
        <v>19</v>
      </c>
      <c r="O76" t="s">
        <v>32</v>
      </c>
    </row>
    <row r="77" spans="1:15" x14ac:dyDescent="0.25">
      <c r="A77" s="3">
        <v>1004</v>
      </c>
      <c r="B77" s="1">
        <v>45104</v>
      </c>
      <c r="C77" t="s">
        <v>42</v>
      </c>
      <c r="D77" t="s">
        <v>21</v>
      </c>
      <c r="E77" s="2">
        <f>Table1[[#This Row],[Quantity_Sold]] * Table1[[#This Row],[Unit_Price]] * (1 - (Table1[[#This Row],[Discount]] / 100))</f>
        <v>5948.4894560000002</v>
      </c>
      <c r="F77" s="2">
        <f>Table1[[#This Row],[Quantity_Sold]] * ((Table1[[#This Row],[Unit_Price]] * (1 - (Table1[[#This Row],[Discount]] / 100))) - Table1[[#This Row],[Unit_Cost]])</f>
        <v>42.029456000000209</v>
      </c>
      <c r="G77" s="3">
        <v>2</v>
      </c>
      <c r="H77" t="s">
        <v>35</v>
      </c>
      <c r="I77">
        <v>2953.23</v>
      </c>
      <c r="J77" s="2">
        <v>2977.52</v>
      </c>
      <c r="K77" t="s">
        <v>17</v>
      </c>
      <c r="L77" s="4">
        <v>0.11</v>
      </c>
      <c r="M77" t="s">
        <v>31</v>
      </c>
      <c r="N77" t="s">
        <v>22</v>
      </c>
      <c r="O77" t="s">
        <v>51</v>
      </c>
    </row>
    <row r="78" spans="1:15" x14ac:dyDescent="0.25">
      <c r="A78" s="3">
        <v>1054</v>
      </c>
      <c r="B78" s="1">
        <v>44936</v>
      </c>
      <c r="C78" t="s">
        <v>38</v>
      </c>
      <c r="D78" t="s">
        <v>25</v>
      </c>
      <c r="E78" s="2">
        <f>Table1[[#This Row],[Quantity_Sold]] * Table1[[#This Row],[Unit_Price]] * (1 - (Table1[[#This Row],[Discount]] / 100))</f>
        <v>117079.06176</v>
      </c>
      <c r="F78" s="2">
        <f>Table1[[#This Row],[Quantity_Sold]] * ((Table1[[#This Row],[Unit_Price]] * (1 - (Table1[[#This Row],[Discount]] / 100))) - Table1[[#This Row],[Unit_Cost]])</f>
        <v>10914.661759999999</v>
      </c>
      <c r="G78" s="3">
        <v>40</v>
      </c>
      <c r="H78" t="s">
        <v>16</v>
      </c>
      <c r="I78">
        <v>2654.11</v>
      </c>
      <c r="J78" s="2">
        <v>2929.32</v>
      </c>
      <c r="K78" t="s">
        <v>17</v>
      </c>
      <c r="L78" s="4">
        <v>0.08</v>
      </c>
      <c r="M78" t="s">
        <v>18</v>
      </c>
      <c r="N78" t="s">
        <v>19</v>
      </c>
      <c r="O78" t="s">
        <v>39</v>
      </c>
    </row>
    <row r="79" spans="1:15" x14ac:dyDescent="0.25">
      <c r="A79" s="3">
        <v>1093</v>
      </c>
      <c r="B79" s="1">
        <v>45187</v>
      </c>
      <c r="C79" t="s">
        <v>24</v>
      </c>
      <c r="D79" t="s">
        <v>21</v>
      </c>
      <c r="E79" s="2">
        <f>Table1[[#This Row],[Quantity_Sold]] * Table1[[#This Row],[Unit_Price]] * (1 - (Table1[[#This Row],[Discount]] / 100))</f>
        <v>72892.294051000004</v>
      </c>
      <c r="F79" s="2">
        <f>Table1[[#This Row],[Quantity_Sold]] * ((Table1[[#This Row],[Unit_Price]] * (1 - (Table1[[#This Row],[Discount]] / 100))) - Table1[[#This Row],[Unit_Cost]])</f>
        <v>529.08405099999845</v>
      </c>
      <c r="G79" s="3">
        <v>19</v>
      </c>
      <c r="H79" t="s">
        <v>35</v>
      </c>
      <c r="I79">
        <v>3808.59</v>
      </c>
      <c r="J79" s="2">
        <v>3844.51</v>
      </c>
      <c r="K79" t="s">
        <v>30</v>
      </c>
      <c r="L79" s="4">
        <v>0.21</v>
      </c>
      <c r="M79" t="s">
        <v>31</v>
      </c>
      <c r="N79" t="s">
        <v>19</v>
      </c>
      <c r="O79" t="s">
        <v>47</v>
      </c>
    </row>
    <row r="80" spans="1:15" x14ac:dyDescent="0.25">
      <c r="A80" s="3">
        <v>1063</v>
      </c>
      <c r="B80" s="1">
        <v>45064</v>
      </c>
      <c r="C80" t="s">
        <v>14</v>
      </c>
      <c r="D80" t="s">
        <v>21</v>
      </c>
      <c r="E80" s="2">
        <f>Table1[[#This Row],[Quantity_Sold]] * Table1[[#This Row],[Unit_Price]] * (1 - (Table1[[#This Row],[Discount]] / 100))</f>
        <v>152996.78062500001</v>
      </c>
      <c r="F80" s="2">
        <f>Table1[[#This Row],[Quantity_Sold]] * ((Table1[[#This Row],[Unit_Price]] * (1 - (Table1[[#This Row],[Discount]] / 100))) - Table1[[#This Row],[Unit_Cost]])</f>
        <v>13466.870625000007</v>
      </c>
      <c r="G80" s="3">
        <v>39</v>
      </c>
      <c r="H80" t="s">
        <v>26</v>
      </c>
      <c r="I80">
        <v>3577.69</v>
      </c>
      <c r="J80" s="2">
        <v>3931.25</v>
      </c>
      <c r="K80" t="s">
        <v>17</v>
      </c>
      <c r="L80" s="4">
        <v>0.21</v>
      </c>
      <c r="M80" t="s">
        <v>18</v>
      </c>
      <c r="N80" t="s">
        <v>22</v>
      </c>
      <c r="O80" t="s">
        <v>23</v>
      </c>
    </row>
    <row r="81" spans="1:15" x14ac:dyDescent="0.25">
      <c r="A81" s="3">
        <v>1018</v>
      </c>
      <c r="B81" s="1">
        <v>45098</v>
      </c>
      <c r="C81" t="s">
        <v>38</v>
      </c>
      <c r="D81" t="s">
        <v>15</v>
      </c>
      <c r="E81" s="2">
        <f>Table1[[#This Row],[Quantity_Sold]] * Table1[[#This Row],[Unit_Price]] * (1 - (Table1[[#This Row],[Discount]] / 100))</f>
        <v>29172.775100000003</v>
      </c>
      <c r="F81" s="2">
        <f>Table1[[#This Row],[Quantity_Sold]] * ((Table1[[#This Row],[Unit_Price]] * (1 - (Table1[[#This Row],[Discount]] / 100))) - Table1[[#This Row],[Unit_Cost]])</f>
        <v>1000.8551000000029</v>
      </c>
      <c r="G81" s="3">
        <v>28</v>
      </c>
      <c r="H81" t="s">
        <v>29</v>
      </c>
      <c r="I81">
        <v>1006.14</v>
      </c>
      <c r="J81" s="2">
        <v>1043.45</v>
      </c>
      <c r="K81" t="s">
        <v>30</v>
      </c>
      <c r="L81" s="4">
        <v>0.15</v>
      </c>
      <c r="M81" t="s">
        <v>27</v>
      </c>
      <c r="N81" t="s">
        <v>22</v>
      </c>
      <c r="O81" t="s">
        <v>40</v>
      </c>
    </row>
    <row r="82" spans="1:15" x14ac:dyDescent="0.25">
      <c r="A82" s="3">
        <v>1090</v>
      </c>
      <c r="B82" s="1">
        <v>44939</v>
      </c>
      <c r="C82" t="s">
        <v>42</v>
      </c>
      <c r="D82" t="s">
        <v>34</v>
      </c>
      <c r="E82" s="2">
        <f>Table1[[#This Row],[Quantity_Sold]] * Table1[[#This Row],[Unit_Price]] * (1 - (Table1[[#This Row],[Discount]] / 100))</f>
        <v>48164.376557000003</v>
      </c>
      <c r="F82" s="2">
        <f>Table1[[#This Row],[Quantity_Sold]] * ((Table1[[#This Row],[Unit_Price]] * (1 - (Table1[[#This Row],[Discount]] / 100))) - Table1[[#This Row],[Unit_Cost]])</f>
        <v>7653.7165569999997</v>
      </c>
      <c r="G82" s="3">
        <v>17</v>
      </c>
      <c r="H82" t="s">
        <v>29</v>
      </c>
      <c r="I82">
        <v>2382.98</v>
      </c>
      <c r="J82" s="2">
        <v>2839.73</v>
      </c>
      <c r="K82" t="s">
        <v>17</v>
      </c>
      <c r="L82" s="4">
        <v>0.23</v>
      </c>
      <c r="M82" t="s">
        <v>27</v>
      </c>
      <c r="N82" t="s">
        <v>22</v>
      </c>
      <c r="O82" t="s">
        <v>52</v>
      </c>
    </row>
    <row r="83" spans="1:15" x14ac:dyDescent="0.25">
      <c r="A83" s="3">
        <v>1044</v>
      </c>
      <c r="B83" s="1">
        <v>45094</v>
      </c>
      <c r="C83" t="s">
        <v>33</v>
      </c>
      <c r="D83" t="s">
        <v>15</v>
      </c>
      <c r="E83" s="2">
        <f>Table1[[#This Row],[Quantity_Sold]] * Table1[[#This Row],[Unit_Price]] * (1 - (Table1[[#This Row],[Discount]] / 100))</f>
        <v>16416.675449999999</v>
      </c>
      <c r="F83" s="2">
        <f>Table1[[#This Row],[Quantity_Sold]] * ((Table1[[#This Row],[Unit_Price]] * (1 - (Table1[[#This Row],[Discount]] / 100))) - Table1[[#This Row],[Unit_Cost]])</f>
        <v>2082.9754500000017</v>
      </c>
      <c r="G83" s="3">
        <v>6</v>
      </c>
      <c r="H83" t="s">
        <v>16</v>
      </c>
      <c r="I83">
        <v>2388.9499999999998</v>
      </c>
      <c r="J83" s="2">
        <v>2742.97</v>
      </c>
      <c r="K83" t="s">
        <v>17</v>
      </c>
      <c r="L83" s="4">
        <v>0.25</v>
      </c>
      <c r="M83" t="s">
        <v>31</v>
      </c>
      <c r="N83" t="s">
        <v>22</v>
      </c>
      <c r="O83" t="s">
        <v>53</v>
      </c>
    </row>
    <row r="84" spans="1:15" x14ac:dyDescent="0.25">
      <c r="A84" s="3">
        <v>1034</v>
      </c>
      <c r="B84" s="1">
        <v>45056</v>
      </c>
      <c r="C84" t="s">
        <v>38</v>
      </c>
      <c r="D84" t="s">
        <v>34</v>
      </c>
      <c r="E84" s="2">
        <f>Table1[[#This Row],[Quantity_Sold]] * Table1[[#This Row],[Unit_Price]] * (1 - (Table1[[#This Row],[Discount]] / 100))</f>
        <v>41365.329190999997</v>
      </c>
      <c r="F84" s="2">
        <f>Table1[[#This Row],[Quantity_Sold]] * ((Table1[[#This Row],[Unit_Price]] * (1 - (Table1[[#This Row],[Discount]] / 100))) - Table1[[#This Row],[Unit_Cost]])</f>
        <v>4843.3391910000009</v>
      </c>
      <c r="G84" s="3">
        <v>19</v>
      </c>
      <c r="H84" t="s">
        <v>29</v>
      </c>
      <c r="I84">
        <v>1922.21</v>
      </c>
      <c r="J84" s="2">
        <v>2180.83</v>
      </c>
      <c r="K84" t="s">
        <v>17</v>
      </c>
      <c r="L84" s="4">
        <v>0.17</v>
      </c>
      <c r="M84" t="s">
        <v>31</v>
      </c>
      <c r="N84" t="s">
        <v>22</v>
      </c>
      <c r="O84" t="s">
        <v>48</v>
      </c>
    </row>
    <row r="85" spans="1:15" x14ac:dyDescent="0.25">
      <c r="A85" s="3">
        <v>1074</v>
      </c>
      <c r="B85" s="1">
        <v>45010</v>
      </c>
      <c r="C85" t="s">
        <v>38</v>
      </c>
      <c r="D85" t="s">
        <v>21</v>
      </c>
      <c r="E85" s="2">
        <f>Table1[[#This Row],[Quantity_Sold]] * Table1[[#This Row],[Unit_Price]] * (1 - (Table1[[#This Row],[Discount]] / 100))</f>
        <v>107598.892932</v>
      </c>
      <c r="F85" s="2">
        <f>Table1[[#This Row],[Quantity_Sold]] * ((Table1[[#This Row],[Unit_Price]] * (1 - (Table1[[#This Row],[Discount]] / 100))) - Table1[[#This Row],[Unit_Cost]])</f>
        <v>8396.0929320000032</v>
      </c>
      <c r="G85" s="3">
        <v>38</v>
      </c>
      <c r="H85" t="s">
        <v>26</v>
      </c>
      <c r="I85">
        <v>2610.6</v>
      </c>
      <c r="J85" s="2">
        <v>2836.94</v>
      </c>
      <c r="K85" t="s">
        <v>17</v>
      </c>
      <c r="L85" s="4">
        <v>0.19</v>
      </c>
      <c r="M85" t="s">
        <v>31</v>
      </c>
      <c r="N85" t="s">
        <v>19</v>
      </c>
      <c r="O85" t="s">
        <v>41</v>
      </c>
    </row>
    <row r="86" spans="1:15" x14ac:dyDescent="0.25">
      <c r="A86" s="3">
        <v>1062</v>
      </c>
      <c r="B86" s="1">
        <v>45247</v>
      </c>
      <c r="C86" t="s">
        <v>33</v>
      </c>
      <c r="D86" t="s">
        <v>15</v>
      </c>
      <c r="E86" s="2">
        <f>Table1[[#This Row],[Quantity_Sold]] * Table1[[#This Row],[Unit_Price]] * (1 - (Table1[[#This Row],[Discount]] / 100))</f>
        <v>60680.896415999996</v>
      </c>
      <c r="F86" s="2">
        <f>Table1[[#This Row],[Quantity_Sold]] * ((Table1[[#This Row],[Unit_Price]] * (1 - (Table1[[#This Row],[Discount]] / 100))) - Table1[[#This Row],[Unit_Cost]])</f>
        <v>2024.2564159999856</v>
      </c>
      <c r="G86" s="3">
        <v>28</v>
      </c>
      <c r="H86" t="s">
        <v>29</v>
      </c>
      <c r="I86">
        <v>2094.88</v>
      </c>
      <c r="J86" s="2">
        <v>2168.91</v>
      </c>
      <c r="K86" t="s">
        <v>17</v>
      </c>
      <c r="L86" s="4">
        <v>0.08</v>
      </c>
      <c r="M86" t="s">
        <v>18</v>
      </c>
      <c r="N86" t="s">
        <v>22</v>
      </c>
      <c r="O86" t="s">
        <v>53</v>
      </c>
    </row>
    <row r="87" spans="1:15" x14ac:dyDescent="0.25">
      <c r="A87" s="3">
        <v>1100</v>
      </c>
      <c r="B87" s="1">
        <v>45245</v>
      </c>
      <c r="C87" t="s">
        <v>38</v>
      </c>
      <c r="D87" t="s">
        <v>34</v>
      </c>
      <c r="E87" s="2">
        <f>Table1[[#This Row],[Quantity_Sold]] * Table1[[#This Row],[Unit_Price]] * (1 - (Table1[[#This Row],[Discount]] / 100))</f>
        <v>2372.2775099999999</v>
      </c>
      <c r="F87" s="2">
        <f>Table1[[#This Row],[Quantity_Sold]] * ((Table1[[#This Row],[Unit_Price]] * (1 - (Table1[[#This Row],[Discount]] / 100))) - Table1[[#This Row],[Unit_Cost]])</f>
        <v>298.75750999999991</v>
      </c>
      <c r="G87" s="3">
        <v>2</v>
      </c>
      <c r="H87" t="s">
        <v>16</v>
      </c>
      <c r="I87">
        <v>1036.76</v>
      </c>
      <c r="J87" s="2">
        <v>1189.3499999999999</v>
      </c>
      <c r="K87" t="s">
        <v>30</v>
      </c>
      <c r="L87" s="4">
        <v>0.27</v>
      </c>
      <c r="M87" t="s">
        <v>27</v>
      </c>
      <c r="N87" t="s">
        <v>19</v>
      </c>
      <c r="O87" t="s">
        <v>48</v>
      </c>
    </row>
    <row r="88" spans="1:15" x14ac:dyDescent="0.25">
      <c r="A88" s="3">
        <v>1014</v>
      </c>
      <c r="B88" s="1">
        <v>45027</v>
      </c>
      <c r="C88" t="s">
        <v>42</v>
      </c>
      <c r="D88" t="s">
        <v>25</v>
      </c>
      <c r="E88" s="2">
        <f>Table1[[#This Row],[Quantity_Sold]] * Table1[[#This Row],[Unit_Price]] * (1 - (Table1[[#This Row],[Discount]] / 100))</f>
        <v>96016.397400000002</v>
      </c>
      <c r="F88" s="2">
        <f>Table1[[#This Row],[Quantity_Sold]] * ((Table1[[#This Row],[Unit_Price]] * (1 - (Table1[[#This Row],[Discount]] / 100))) - Table1[[#This Row],[Unit_Cost]])</f>
        <v>16550.417399999998</v>
      </c>
      <c r="G88" s="3">
        <v>38</v>
      </c>
      <c r="H88" t="s">
        <v>26</v>
      </c>
      <c r="I88">
        <v>2091.21</v>
      </c>
      <c r="J88" s="2">
        <v>2527</v>
      </c>
      <c r="K88" t="s">
        <v>17</v>
      </c>
      <c r="L88" s="4">
        <v>0.01</v>
      </c>
      <c r="M88" t="s">
        <v>31</v>
      </c>
      <c r="N88" t="s">
        <v>19</v>
      </c>
      <c r="O88" t="s">
        <v>43</v>
      </c>
    </row>
    <row r="89" spans="1:15" x14ac:dyDescent="0.25">
      <c r="A89" s="3">
        <v>1095</v>
      </c>
      <c r="B89" s="1">
        <v>45255</v>
      </c>
      <c r="C89" t="s">
        <v>42</v>
      </c>
      <c r="D89" t="s">
        <v>34</v>
      </c>
      <c r="E89" s="2">
        <f>Table1[[#This Row],[Quantity_Sold]] * Table1[[#This Row],[Unit_Price]] * (1 - (Table1[[#This Row],[Discount]] / 100))</f>
        <v>31823.294850000002</v>
      </c>
      <c r="F89" s="2">
        <f>Table1[[#This Row],[Quantity_Sold]] * ((Table1[[#This Row],[Unit_Price]] * (1 - (Table1[[#This Row],[Discount]] / 100))) - Table1[[#This Row],[Unit_Cost]])</f>
        <v>16735.80485</v>
      </c>
      <c r="G89" s="3">
        <v>37</v>
      </c>
      <c r="H89" t="s">
        <v>35</v>
      </c>
      <c r="I89">
        <v>407.77</v>
      </c>
      <c r="J89" s="2">
        <v>860.95</v>
      </c>
      <c r="K89" t="s">
        <v>30</v>
      </c>
      <c r="L89" s="4">
        <v>0.1</v>
      </c>
      <c r="M89" t="s">
        <v>31</v>
      </c>
      <c r="N89" t="s">
        <v>22</v>
      </c>
      <c r="O89" t="s">
        <v>52</v>
      </c>
    </row>
    <row r="90" spans="1:15" x14ac:dyDescent="0.25">
      <c r="A90" s="3">
        <v>1048</v>
      </c>
      <c r="B90" s="1">
        <v>45199</v>
      </c>
      <c r="C90" t="s">
        <v>33</v>
      </c>
      <c r="D90" t="s">
        <v>15</v>
      </c>
      <c r="E90" s="2">
        <f>Table1[[#This Row],[Quantity_Sold]] * Table1[[#This Row],[Unit_Price]] * (1 - (Table1[[#This Row],[Discount]] / 100))</f>
        <v>11616.427511999962</v>
      </c>
      <c r="F90" s="2">
        <f>Table1[[#This Row],[Quantity_Sold]] * ((Table1[[#This Row],[Unit_Price]] * (1 - (Table1[[#This Row],[Discount]] / 100))) - Table1[[#This Row],[Unit_Cost]])</f>
        <v>15.867511999962517</v>
      </c>
      <c r="G90" s="3">
        <v>4</v>
      </c>
      <c r="H90" t="s">
        <v>16</v>
      </c>
      <c r="I90">
        <v>2900.14</v>
      </c>
      <c r="J90" s="2">
        <v>2910.5099999999902</v>
      </c>
      <c r="K90" t="s">
        <v>30</v>
      </c>
      <c r="L90" s="4">
        <v>0.22</v>
      </c>
      <c r="M90" t="s">
        <v>31</v>
      </c>
      <c r="N90" t="s">
        <v>22</v>
      </c>
      <c r="O90" t="s">
        <v>53</v>
      </c>
    </row>
    <row r="91" spans="1:15" x14ac:dyDescent="0.25">
      <c r="A91" s="3">
        <v>1015</v>
      </c>
      <c r="B91" s="1">
        <v>45191</v>
      </c>
      <c r="C91" t="s">
        <v>24</v>
      </c>
      <c r="D91" t="s">
        <v>25</v>
      </c>
      <c r="E91" s="2">
        <f>Table1[[#This Row],[Quantity_Sold]] * Table1[[#This Row],[Unit_Price]] * (1 - (Table1[[#This Row],[Discount]] / 100))</f>
        <v>100667.70243200002</v>
      </c>
      <c r="F91" s="2">
        <f>Table1[[#This Row],[Quantity_Sold]] * ((Table1[[#This Row],[Unit_Price]] * (1 - (Table1[[#This Row],[Discount]] / 100))) - Table1[[#This Row],[Unit_Cost]])</f>
        <v>6604.7224320000023</v>
      </c>
      <c r="G91" s="3">
        <v>22</v>
      </c>
      <c r="H91" t="s">
        <v>35</v>
      </c>
      <c r="I91">
        <v>4275.59</v>
      </c>
      <c r="J91" s="2">
        <v>4576.72</v>
      </c>
      <c r="K91" t="s">
        <v>17</v>
      </c>
      <c r="L91" s="4">
        <v>0.02</v>
      </c>
      <c r="M91" t="s">
        <v>18</v>
      </c>
      <c r="N91" t="s">
        <v>22</v>
      </c>
      <c r="O91" t="s">
        <v>28</v>
      </c>
    </row>
    <row r="92" spans="1:15" x14ac:dyDescent="0.25">
      <c r="A92" s="3">
        <v>1072</v>
      </c>
      <c r="B92" s="1">
        <v>44964</v>
      </c>
      <c r="C92" t="s">
        <v>14</v>
      </c>
      <c r="D92" t="s">
        <v>34</v>
      </c>
      <c r="E92" s="2">
        <f>Table1[[#This Row],[Quantity_Sold]] * Table1[[#This Row],[Unit_Price]] * (1 - (Table1[[#This Row],[Discount]] / 100))</f>
        <v>104016.34581000001</v>
      </c>
      <c r="F92" s="2">
        <f>Table1[[#This Row],[Quantity_Sold]] * ((Table1[[#This Row],[Unit_Price]] * (1 - (Table1[[#This Row],[Discount]] / 100))) - Table1[[#This Row],[Unit_Cost]])</f>
        <v>9371.9258100000006</v>
      </c>
      <c r="G92" s="3">
        <v>26</v>
      </c>
      <c r="H92" t="s">
        <v>26</v>
      </c>
      <c r="I92">
        <v>3640.17</v>
      </c>
      <c r="J92" s="2">
        <v>4002.63</v>
      </c>
      <c r="K92" t="s">
        <v>30</v>
      </c>
      <c r="L92" s="4">
        <v>0.05</v>
      </c>
      <c r="M92" t="s">
        <v>31</v>
      </c>
      <c r="N92" t="s">
        <v>22</v>
      </c>
      <c r="O92" t="s">
        <v>46</v>
      </c>
    </row>
    <row r="93" spans="1:15" x14ac:dyDescent="0.25">
      <c r="A93" s="3">
        <v>1078</v>
      </c>
      <c r="B93" s="1">
        <v>45020</v>
      </c>
      <c r="C93" t="s">
        <v>24</v>
      </c>
      <c r="D93" t="s">
        <v>34</v>
      </c>
      <c r="E93" s="2">
        <f>Table1[[#This Row],[Quantity_Sold]] * Table1[[#This Row],[Unit_Price]] * (1 - (Table1[[#This Row],[Discount]] / 100))</f>
        <v>105020.482252</v>
      </c>
      <c r="F93" s="2">
        <f>Table1[[#This Row],[Quantity_Sold]] * ((Table1[[#This Row],[Unit_Price]] * (1 - (Table1[[#This Row],[Discount]] / 100))) - Table1[[#This Row],[Unit_Cost]])</f>
        <v>15156.932251999984</v>
      </c>
      <c r="G93" s="3">
        <v>49</v>
      </c>
      <c r="H93" t="s">
        <v>16</v>
      </c>
      <c r="I93">
        <v>1833.95</v>
      </c>
      <c r="J93" s="2">
        <v>2147.14</v>
      </c>
      <c r="K93" t="s">
        <v>17</v>
      </c>
      <c r="L93" s="4">
        <v>0.18</v>
      </c>
      <c r="M93" t="s">
        <v>31</v>
      </c>
      <c r="N93" t="s">
        <v>22</v>
      </c>
      <c r="O93" t="s">
        <v>50</v>
      </c>
    </row>
    <row r="94" spans="1:15" x14ac:dyDescent="0.25">
      <c r="A94" s="3">
        <v>1087</v>
      </c>
      <c r="B94" s="1">
        <v>45021</v>
      </c>
      <c r="C94" t="s">
        <v>38</v>
      </c>
      <c r="D94" t="s">
        <v>34</v>
      </c>
      <c r="E94" s="2">
        <f>Table1[[#This Row],[Quantity_Sold]] * Table1[[#This Row],[Unit_Price]] * (1 - (Table1[[#This Row],[Discount]] / 100))</f>
        <v>22795.042438</v>
      </c>
      <c r="F94" s="2">
        <f>Table1[[#This Row],[Quantity_Sold]] * ((Table1[[#This Row],[Unit_Price]] * (1 - (Table1[[#This Row],[Discount]] / 100))) - Table1[[#This Row],[Unit_Cost]])</f>
        <v>2112.0424379999986</v>
      </c>
      <c r="G94" s="3">
        <v>43</v>
      </c>
      <c r="H94" t="s">
        <v>16</v>
      </c>
      <c r="I94">
        <v>481</v>
      </c>
      <c r="J94" s="2">
        <v>531.02</v>
      </c>
      <c r="K94" t="s">
        <v>30</v>
      </c>
      <c r="L94" s="4">
        <v>0.17</v>
      </c>
      <c r="M94" t="s">
        <v>18</v>
      </c>
      <c r="N94" t="s">
        <v>19</v>
      </c>
      <c r="O94" t="s">
        <v>48</v>
      </c>
    </row>
    <row r="95" spans="1:15" x14ac:dyDescent="0.25">
      <c r="A95" s="3">
        <v>1062</v>
      </c>
      <c r="B95" s="1">
        <v>45231</v>
      </c>
      <c r="C95" t="s">
        <v>14</v>
      </c>
      <c r="D95" t="s">
        <v>34</v>
      </c>
      <c r="E95" s="2">
        <f>Table1[[#This Row],[Quantity_Sold]] * Table1[[#This Row],[Unit_Price]] * (1 - (Table1[[#This Row],[Discount]] / 100))</f>
        <v>41931.427464</v>
      </c>
      <c r="F95" s="2">
        <f>Table1[[#This Row],[Quantity_Sold]] * ((Table1[[#This Row],[Unit_Price]] * (1 - (Table1[[#This Row],[Discount]] / 100))) - Table1[[#This Row],[Unit_Cost]])</f>
        <v>4108.3874639999976</v>
      </c>
      <c r="G95" s="3">
        <v>36</v>
      </c>
      <c r="H95" t="s">
        <v>26</v>
      </c>
      <c r="I95">
        <v>1050.6400000000001</v>
      </c>
      <c r="J95" s="2">
        <v>1167.33</v>
      </c>
      <c r="K95" t="s">
        <v>30</v>
      </c>
      <c r="L95" s="4">
        <v>0.22</v>
      </c>
      <c r="M95" t="s">
        <v>18</v>
      </c>
      <c r="N95" t="s">
        <v>19</v>
      </c>
      <c r="O95" t="s">
        <v>46</v>
      </c>
    </row>
    <row r="96" spans="1:15" x14ac:dyDescent="0.25">
      <c r="A96" s="3">
        <v>1040</v>
      </c>
      <c r="B96" s="1">
        <v>44995</v>
      </c>
      <c r="C96" t="s">
        <v>33</v>
      </c>
      <c r="D96" t="s">
        <v>34</v>
      </c>
      <c r="E96" s="2">
        <f>Table1[[#This Row],[Quantity_Sold]] * Table1[[#This Row],[Unit_Price]] * (1 - (Table1[[#This Row],[Discount]] / 100))</f>
        <v>37387.105079999994</v>
      </c>
      <c r="F96" s="2">
        <f>Table1[[#This Row],[Quantity_Sold]] * ((Table1[[#This Row],[Unit_Price]] * (1 - (Table1[[#This Row],[Discount]] / 100))) - Table1[[#This Row],[Unit_Cost]])</f>
        <v>1634.7650800000033</v>
      </c>
      <c r="G96" s="3">
        <v>13</v>
      </c>
      <c r="H96" t="s">
        <v>29</v>
      </c>
      <c r="I96">
        <v>2750.18</v>
      </c>
      <c r="J96" s="2">
        <v>2882.85</v>
      </c>
      <c r="K96" t="s">
        <v>17</v>
      </c>
      <c r="L96" s="4">
        <v>0.24</v>
      </c>
      <c r="M96" t="s">
        <v>31</v>
      </c>
      <c r="N96" t="s">
        <v>19</v>
      </c>
      <c r="O96" t="s">
        <v>36</v>
      </c>
    </row>
    <row r="97" spans="1:15" x14ac:dyDescent="0.25">
      <c r="A97" s="3">
        <v>1085</v>
      </c>
      <c r="B97" s="1">
        <v>45244</v>
      </c>
      <c r="C97" t="s">
        <v>33</v>
      </c>
      <c r="D97" t="s">
        <v>25</v>
      </c>
      <c r="E97" s="2">
        <f>Table1[[#This Row],[Quantity_Sold]] * Table1[[#This Row],[Unit_Price]] * (1 - (Table1[[#This Row],[Discount]] / 100))</f>
        <v>47740.256256000001</v>
      </c>
      <c r="F97" s="2">
        <f>Table1[[#This Row],[Quantity_Sold]] * ((Table1[[#This Row],[Unit_Price]] * (1 - (Table1[[#This Row],[Discount]] / 100))) - Table1[[#This Row],[Unit_Cost]])</f>
        <v>13342.496255999999</v>
      </c>
      <c r="G97" s="3">
        <v>32</v>
      </c>
      <c r="H97" t="s">
        <v>16</v>
      </c>
      <c r="I97">
        <v>1074.93</v>
      </c>
      <c r="J97" s="2">
        <v>1492.48</v>
      </c>
      <c r="K97" t="s">
        <v>17</v>
      </c>
      <c r="L97" s="4">
        <v>0.04</v>
      </c>
      <c r="M97" t="s">
        <v>31</v>
      </c>
      <c r="N97" t="s">
        <v>22</v>
      </c>
      <c r="O97" t="s">
        <v>44</v>
      </c>
    </row>
    <row r="98" spans="1:15" x14ac:dyDescent="0.25">
      <c r="A98" s="3">
        <v>1080</v>
      </c>
      <c r="B98" s="1">
        <v>45162</v>
      </c>
      <c r="C98" t="s">
        <v>14</v>
      </c>
      <c r="D98" t="s">
        <v>21</v>
      </c>
      <c r="E98" s="2">
        <f>Table1[[#This Row],[Quantity_Sold]] * Table1[[#This Row],[Unit_Price]] * (1 - (Table1[[#This Row],[Discount]] / 100))</f>
        <v>50648.814611999995</v>
      </c>
      <c r="F98" s="2">
        <f>Table1[[#This Row],[Quantity_Sold]] * ((Table1[[#This Row],[Unit_Price]] * (1 - (Table1[[#This Row],[Discount]] / 100))) - Table1[[#This Row],[Unit_Cost]])</f>
        <v>4023.4246119999989</v>
      </c>
      <c r="G98" s="3">
        <v>17</v>
      </c>
      <c r="H98" t="s">
        <v>16</v>
      </c>
      <c r="I98">
        <v>2742.67</v>
      </c>
      <c r="J98" s="2">
        <v>2979.64</v>
      </c>
      <c r="K98" t="s">
        <v>17</v>
      </c>
      <c r="L98" s="4">
        <v>0.01</v>
      </c>
      <c r="M98" t="s">
        <v>18</v>
      </c>
      <c r="N98" t="s">
        <v>22</v>
      </c>
      <c r="O98" t="s">
        <v>23</v>
      </c>
    </row>
    <row r="99" spans="1:15" x14ac:dyDescent="0.25">
      <c r="A99" s="3">
        <v>1082</v>
      </c>
      <c r="B99" s="1">
        <v>45260</v>
      </c>
      <c r="C99" t="s">
        <v>42</v>
      </c>
      <c r="D99" t="s">
        <v>25</v>
      </c>
      <c r="E99" s="2">
        <f>Table1[[#This Row],[Quantity_Sold]] * Table1[[#This Row],[Unit_Price]] * (1 - (Table1[[#This Row],[Discount]] / 100))</f>
        <v>59119.358083000006</v>
      </c>
      <c r="F99" s="2">
        <f>Table1[[#This Row],[Quantity_Sold]] * ((Table1[[#This Row],[Unit_Price]] * (1 - (Table1[[#This Row],[Discount]] / 100))) - Table1[[#This Row],[Unit_Cost]])</f>
        <v>10066.138082999998</v>
      </c>
      <c r="G99" s="3">
        <v>41</v>
      </c>
      <c r="H99" t="s">
        <v>35</v>
      </c>
      <c r="I99">
        <v>1196.42</v>
      </c>
      <c r="J99" s="2">
        <v>1444.97</v>
      </c>
      <c r="K99" t="s">
        <v>17</v>
      </c>
      <c r="L99" s="4">
        <v>0.21</v>
      </c>
      <c r="M99" t="s">
        <v>27</v>
      </c>
      <c r="N99" t="s">
        <v>19</v>
      </c>
      <c r="O99" t="s">
        <v>43</v>
      </c>
    </row>
    <row r="100" spans="1:15" x14ac:dyDescent="0.25">
      <c r="A100" s="3">
        <v>1053</v>
      </c>
      <c r="B100" s="1">
        <v>45063</v>
      </c>
      <c r="C100" t="s">
        <v>14</v>
      </c>
      <c r="D100" t="s">
        <v>25</v>
      </c>
      <c r="E100" s="2">
        <f>Table1[[#This Row],[Quantity_Sold]] * Table1[[#This Row],[Unit_Price]] * (1 - (Table1[[#This Row],[Discount]] / 100))</f>
        <v>169776.78325200002</v>
      </c>
      <c r="F100" s="2">
        <f>Table1[[#This Row],[Quantity_Sold]] * ((Table1[[#This Row],[Unit_Price]] * (1 - (Table1[[#This Row],[Discount]] / 100))) - Table1[[#This Row],[Unit_Cost]])</f>
        <v>16698.663252000013</v>
      </c>
      <c r="G100" s="3">
        <v>36</v>
      </c>
      <c r="H100" t="s">
        <v>29</v>
      </c>
      <c r="I100">
        <v>4252.17</v>
      </c>
      <c r="J100" s="2">
        <v>4720.2700000000004</v>
      </c>
      <c r="K100" t="s">
        <v>30</v>
      </c>
      <c r="L100" s="4">
        <v>0.09</v>
      </c>
      <c r="M100" t="s">
        <v>18</v>
      </c>
      <c r="N100" t="s">
        <v>22</v>
      </c>
      <c r="O100" t="s">
        <v>32</v>
      </c>
    </row>
    <row r="101" spans="1:15" x14ac:dyDescent="0.25">
      <c r="A101" s="3">
        <v>1024</v>
      </c>
      <c r="B101" s="1">
        <v>45002</v>
      </c>
      <c r="C101" t="s">
        <v>38</v>
      </c>
      <c r="D101" t="s">
        <v>25</v>
      </c>
      <c r="E101" s="2">
        <f>Table1[[#This Row],[Quantity_Sold]] * Table1[[#This Row],[Unit_Price]] * (1 - (Table1[[#This Row],[Discount]] / 100))</f>
        <v>107373.96111599999</v>
      </c>
      <c r="F101" s="2">
        <f>Table1[[#This Row],[Quantity_Sold]] * ((Table1[[#This Row],[Unit_Price]] * (1 - (Table1[[#This Row],[Discount]] / 100))) - Table1[[#This Row],[Unit_Cost]])</f>
        <v>14615.421115999983</v>
      </c>
      <c r="G101" s="3">
        <v>46</v>
      </c>
      <c r="H101" t="s">
        <v>35</v>
      </c>
      <c r="I101">
        <v>2016.49</v>
      </c>
      <c r="J101" s="2">
        <v>2338.66</v>
      </c>
      <c r="K101" t="s">
        <v>17</v>
      </c>
      <c r="L101" s="4">
        <v>0.19</v>
      </c>
      <c r="M101" t="s">
        <v>27</v>
      </c>
      <c r="N101" t="s">
        <v>22</v>
      </c>
      <c r="O101" t="s">
        <v>39</v>
      </c>
    </row>
    <row r="102" spans="1:15" x14ac:dyDescent="0.25">
      <c r="A102" s="3">
        <v>1026</v>
      </c>
      <c r="B102" s="1">
        <v>44961</v>
      </c>
      <c r="C102" t="s">
        <v>42</v>
      </c>
      <c r="D102" t="s">
        <v>21</v>
      </c>
      <c r="E102" s="2">
        <f>Table1[[#This Row],[Quantity_Sold]] * Table1[[#This Row],[Unit_Price]] * (1 - (Table1[[#This Row],[Discount]] / 100))</f>
        <v>32584.469614999998</v>
      </c>
      <c r="F102" s="2">
        <f>Table1[[#This Row],[Quantity_Sold]] * ((Table1[[#This Row],[Unit_Price]] * (1 - (Table1[[#This Row],[Discount]] / 100))) - Table1[[#This Row],[Unit_Cost]])</f>
        <v>8540.349615000001</v>
      </c>
      <c r="G102" s="3">
        <v>19</v>
      </c>
      <c r="H102" t="s">
        <v>35</v>
      </c>
      <c r="I102">
        <v>1265.48</v>
      </c>
      <c r="J102" s="2">
        <v>1715.83</v>
      </c>
      <c r="K102" t="s">
        <v>30</v>
      </c>
      <c r="L102" s="4">
        <v>0.05</v>
      </c>
      <c r="M102" t="s">
        <v>31</v>
      </c>
      <c r="N102" t="s">
        <v>22</v>
      </c>
      <c r="O102" t="s">
        <v>51</v>
      </c>
    </row>
    <row r="103" spans="1:15" x14ac:dyDescent="0.25">
      <c r="A103" s="3">
        <v>1089</v>
      </c>
      <c r="B103" s="1">
        <v>44927</v>
      </c>
      <c r="C103" t="s">
        <v>33</v>
      </c>
      <c r="D103" t="s">
        <v>15</v>
      </c>
      <c r="E103" s="2">
        <f>Table1[[#This Row],[Quantity_Sold]] * Table1[[#This Row],[Unit_Price]] * (1 - (Table1[[#This Row],[Discount]] / 100))</f>
        <v>150453.56969999999</v>
      </c>
      <c r="F103" s="2">
        <f>Table1[[#This Row],[Quantity_Sold]] * ((Table1[[#This Row],[Unit_Price]] * (1 - (Table1[[#This Row],[Discount]] / 100))) - Table1[[#This Row],[Unit_Cost]])</f>
        <v>7968.2196999999951</v>
      </c>
      <c r="G103" s="3">
        <v>35</v>
      </c>
      <c r="H103" t="s">
        <v>29</v>
      </c>
      <c r="I103">
        <v>4071.01</v>
      </c>
      <c r="J103" s="2">
        <v>4304.7</v>
      </c>
      <c r="K103" t="s">
        <v>30</v>
      </c>
      <c r="L103" s="4">
        <v>0.14000000000000001</v>
      </c>
      <c r="M103" t="s">
        <v>31</v>
      </c>
      <c r="N103" t="s">
        <v>19</v>
      </c>
      <c r="O103" t="s">
        <v>53</v>
      </c>
    </row>
    <row r="104" spans="1:15" x14ac:dyDescent="0.25">
      <c r="A104" s="3">
        <v>1060</v>
      </c>
      <c r="B104" s="1">
        <v>45222</v>
      </c>
      <c r="C104" t="s">
        <v>14</v>
      </c>
      <c r="D104" t="s">
        <v>21</v>
      </c>
      <c r="E104" s="2">
        <f>Table1[[#This Row],[Quantity_Sold]] * Table1[[#This Row],[Unit_Price]] * (1 - (Table1[[#This Row],[Discount]] / 100))</f>
        <v>84066.131370000003</v>
      </c>
      <c r="F104" s="2">
        <f>Table1[[#This Row],[Quantity_Sold]] * ((Table1[[#This Row],[Unit_Price]] * (1 - (Table1[[#This Row],[Discount]] / 100))) - Table1[[#This Row],[Unit_Cost]])</f>
        <v>3701.8313700000062</v>
      </c>
      <c r="G104" s="3">
        <v>46</v>
      </c>
      <c r="H104" t="s">
        <v>29</v>
      </c>
      <c r="I104">
        <v>1747.05</v>
      </c>
      <c r="J104" s="2">
        <v>1830.27</v>
      </c>
      <c r="K104" t="s">
        <v>30</v>
      </c>
      <c r="L104" s="4">
        <v>0.15</v>
      </c>
      <c r="M104" t="s">
        <v>27</v>
      </c>
      <c r="N104" t="s">
        <v>22</v>
      </c>
      <c r="O104" t="s">
        <v>23</v>
      </c>
    </row>
    <row r="105" spans="1:15" x14ac:dyDescent="0.25">
      <c r="A105" s="3">
        <v>1041</v>
      </c>
      <c r="B105" s="1">
        <v>45246</v>
      </c>
      <c r="C105" t="s">
        <v>24</v>
      </c>
      <c r="D105" t="s">
        <v>25</v>
      </c>
      <c r="E105" s="2">
        <f>Table1[[#This Row],[Quantity_Sold]] * Table1[[#This Row],[Unit_Price]] * (1 - (Table1[[#This Row],[Discount]] / 100))</f>
        <v>42624.337839999993</v>
      </c>
      <c r="F105" s="2">
        <f>Table1[[#This Row],[Quantity_Sold]] * ((Table1[[#This Row],[Unit_Price]] * (1 - (Table1[[#This Row],[Discount]] / 100))) - Table1[[#This Row],[Unit_Cost]])</f>
        <v>18549.937839999999</v>
      </c>
      <c r="G105" s="3">
        <v>40</v>
      </c>
      <c r="H105" t="s">
        <v>26</v>
      </c>
      <c r="I105">
        <v>601.86</v>
      </c>
      <c r="J105" s="2">
        <v>1067.53</v>
      </c>
      <c r="K105" t="s">
        <v>30</v>
      </c>
      <c r="L105" s="4">
        <v>0.18</v>
      </c>
      <c r="M105" t="s">
        <v>18</v>
      </c>
      <c r="N105" t="s">
        <v>19</v>
      </c>
      <c r="O105" t="s">
        <v>28</v>
      </c>
    </row>
    <row r="106" spans="1:15" x14ac:dyDescent="0.25">
      <c r="A106" s="3">
        <v>1029</v>
      </c>
      <c r="B106" s="1">
        <v>44986</v>
      </c>
      <c r="C106" t="s">
        <v>24</v>
      </c>
      <c r="D106" t="s">
        <v>34</v>
      </c>
      <c r="E106" s="2">
        <f>Table1[[#This Row],[Quantity_Sold]] * Table1[[#This Row],[Unit_Price]] * (1 - (Table1[[#This Row],[Discount]] / 100))</f>
        <v>86901.851400000014</v>
      </c>
      <c r="F106" s="2">
        <f>Table1[[#This Row],[Quantity_Sold]] * ((Table1[[#This Row],[Unit_Price]] * (1 - (Table1[[#This Row],[Discount]] / 100))) - Table1[[#This Row],[Unit_Cost]])</f>
        <v>6443.0114000000049</v>
      </c>
      <c r="G106" s="3">
        <v>28</v>
      </c>
      <c r="H106" t="s">
        <v>29</v>
      </c>
      <c r="I106">
        <v>2873.53</v>
      </c>
      <c r="J106" s="2">
        <v>3108.3</v>
      </c>
      <c r="K106" t="s">
        <v>30</v>
      </c>
      <c r="L106" s="4">
        <v>0.15</v>
      </c>
      <c r="M106" t="s">
        <v>31</v>
      </c>
      <c r="N106" t="s">
        <v>22</v>
      </c>
      <c r="O106" t="s">
        <v>50</v>
      </c>
    </row>
    <row r="107" spans="1:15" x14ac:dyDescent="0.25">
      <c r="A107" s="3">
        <v>1015</v>
      </c>
      <c r="B107" s="1">
        <v>45246</v>
      </c>
      <c r="C107" t="s">
        <v>38</v>
      </c>
      <c r="D107" t="s">
        <v>34</v>
      </c>
      <c r="E107" s="2">
        <f>Table1[[#This Row],[Quantity_Sold]] * Table1[[#This Row],[Unit_Price]] * (1 - (Table1[[#This Row],[Discount]] / 100))</f>
        <v>3023.19839</v>
      </c>
      <c r="F107" s="2">
        <f>Table1[[#This Row],[Quantity_Sold]] * ((Table1[[#This Row],[Unit_Price]] * (1 - (Table1[[#This Row],[Discount]] / 100))) - Table1[[#This Row],[Unit_Cost]])</f>
        <v>94.458390000000236</v>
      </c>
      <c r="G107" s="3">
        <v>1</v>
      </c>
      <c r="H107" t="s">
        <v>16</v>
      </c>
      <c r="I107">
        <v>2928.74</v>
      </c>
      <c r="J107" s="2">
        <v>3027.74</v>
      </c>
      <c r="K107" t="s">
        <v>30</v>
      </c>
      <c r="L107" s="4">
        <v>0.15</v>
      </c>
      <c r="M107" t="s">
        <v>27</v>
      </c>
      <c r="N107" t="s">
        <v>22</v>
      </c>
      <c r="O107" t="s">
        <v>48</v>
      </c>
    </row>
    <row r="108" spans="1:15" x14ac:dyDescent="0.25">
      <c r="A108" s="3">
        <v>1045</v>
      </c>
      <c r="B108" s="1">
        <v>45275</v>
      </c>
      <c r="C108" t="s">
        <v>24</v>
      </c>
      <c r="D108" t="s">
        <v>25</v>
      </c>
      <c r="E108" s="2">
        <f>Table1[[#This Row],[Quantity_Sold]] * Table1[[#This Row],[Unit_Price]] * (1 - (Table1[[#This Row],[Discount]] / 100))</f>
        <v>157170.89178000001</v>
      </c>
      <c r="F108" s="2">
        <f>Table1[[#This Row],[Quantity_Sold]] * ((Table1[[#This Row],[Unit_Price]] * (1 - (Table1[[#This Row],[Discount]] / 100))) - Table1[[#This Row],[Unit_Cost]])</f>
        <v>6485.8117799999991</v>
      </c>
      <c r="G108" s="3">
        <v>42</v>
      </c>
      <c r="H108" t="s">
        <v>29</v>
      </c>
      <c r="I108">
        <v>3587.74</v>
      </c>
      <c r="J108" s="2">
        <v>3745.91</v>
      </c>
      <c r="K108" t="s">
        <v>17</v>
      </c>
      <c r="L108" s="4">
        <v>0.1</v>
      </c>
      <c r="M108" t="s">
        <v>18</v>
      </c>
      <c r="N108" t="s">
        <v>19</v>
      </c>
      <c r="O108" t="s">
        <v>28</v>
      </c>
    </row>
    <row r="109" spans="1:15" x14ac:dyDescent="0.25">
      <c r="A109" s="3">
        <v>1065</v>
      </c>
      <c r="B109" s="1">
        <v>45254</v>
      </c>
      <c r="C109" t="s">
        <v>14</v>
      </c>
      <c r="D109" t="s">
        <v>34</v>
      </c>
      <c r="E109" s="2">
        <f>Table1[[#This Row],[Quantity_Sold]] * Table1[[#This Row],[Unit_Price]] * (1 - (Table1[[#This Row],[Discount]] / 100))</f>
        <v>22927.053671999998</v>
      </c>
      <c r="F109" s="2">
        <f>Table1[[#This Row],[Quantity_Sold]] * ((Table1[[#This Row],[Unit_Price]] * (1 - (Table1[[#This Row],[Discount]] / 100))) - Table1[[#This Row],[Unit_Cost]])</f>
        <v>623.43367200000284</v>
      </c>
      <c r="G109" s="3">
        <v>18</v>
      </c>
      <c r="H109" t="s">
        <v>26</v>
      </c>
      <c r="I109">
        <v>1239.0899999999999</v>
      </c>
      <c r="J109" s="2">
        <v>1273.98</v>
      </c>
      <c r="K109" t="s">
        <v>30</v>
      </c>
      <c r="L109" s="4">
        <v>0.02</v>
      </c>
      <c r="M109" t="s">
        <v>27</v>
      </c>
      <c r="N109" t="s">
        <v>22</v>
      </c>
      <c r="O109" t="s">
        <v>46</v>
      </c>
    </row>
    <row r="110" spans="1:15" x14ac:dyDescent="0.25">
      <c r="A110" s="3">
        <v>1089</v>
      </c>
      <c r="B110" s="1">
        <v>45193</v>
      </c>
      <c r="C110" t="s">
        <v>14</v>
      </c>
      <c r="D110" t="s">
        <v>25</v>
      </c>
      <c r="E110" s="2">
        <f>Table1[[#This Row],[Quantity_Sold]] * Table1[[#This Row],[Unit_Price]] * (1 - (Table1[[#This Row],[Discount]] / 100))</f>
        <v>119298.919584</v>
      </c>
      <c r="F110" s="2">
        <f>Table1[[#This Row],[Quantity_Sold]] * ((Table1[[#This Row],[Unit_Price]] * (1 - (Table1[[#This Row],[Discount]] / 100))) - Table1[[#This Row],[Unit_Cost]])</f>
        <v>11458.759583999999</v>
      </c>
      <c r="G110" s="3">
        <v>48</v>
      </c>
      <c r="H110" t="s">
        <v>26</v>
      </c>
      <c r="I110">
        <v>2246.67</v>
      </c>
      <c r="J110" s="2">
        <v>2486.14</v>
      </c>
      <c r="K110" t="s">
        <v>30</v>
      </c>
      <c r="L110" s="4">
        <v>0.03</v>
      </c>
      <c r="M110" t="s">
        <v>18</v>
      </c>
      <c r="N110" t="s">
        <v>22</v>
      </c>
      <c r="O110" t="s">
        <v>32</v>
      </c>
    </row>
    <row r="111" spans="1:15" x14ac:dyDescent="0.25">
      <c r="A111" s="3">
        <v>1071</v>
      </c>
      <c r="B111" s="1">
        <v>45287</v>
      </c>
      <c r="C111" t="s">
        <v>24</v>
      </c>
      <c r="D111" t="s">
        <v>34</v>
      </c>
      <c r="E111" s="2">
        <f>Table1[[#This Row],[Quantity_Sold]] * Table1[[#This Row],[Unit_Price]] * (1 - (Table1[[#This Row],[Discount]] / 100))</f>
        <v>74932.460999999996</v>
      </c>
      <c r="F111" s="2">
        <f>Table1[[#This Row],[Quantity_Sold]] * ((Table1[[#This Row],[Unit_Price]] * (1 - (Table1[[#This Row],[Discount]] / 100))) - Table1[[#This Row],[Unit_Cost]])</f>
        <v>17023.661</v>
      </c>
      <c r="G111" s="3">
        <v>40</v>
      </c>
      <c r="H111" t="s">
        <v>26</v>
      </c>
      <c r="I111">
        <v>1447.72</v>
      </c>
      <c r="J111" s="2">
        <v>1875.75</v>
      </c>
      <c r="K111" t="s">
        <v>30</v>
      </c>
      <c r="L111" s="4">
        <v>0.13</v>
      </c>
      <c r="M111" t="s">
        <v>18</v>
      </c>
      <c r="N111" t="s">
        <v>22</v>
      </c>
      <c r="O111" t="s">
        <v>50</v>
      </c>
    </row>
    <row r="112" spans="1:15" x14ac:dyDescent="0.25">
      <c r="A112" s="3">
        <v>1009</v>
      </c>
      <c r="B112" s="1">
        <v>45155</v>
      </c>
      <c r="C112" t="s">
        <v>14</v>
      </c>
      <c r="D112" t="s">
        <v>21</v>
      </c>
      <c r="E112" s="2">
        <f>Table1[[#This Row],[Quantity_Sold]] * Table1[[#This Row],[Unit_Price]] * (1 - (Table1[[#This Row],[Discount]] / 100))</f>
        <v>30266.280428999999</v>
      </c>
      <c r="F112" s="2">
        <f>Table1[[#This Row],[Quantity_Sold]] * ((Table1[[#This Row],[Unit_Price]] * (1 - (Table1[[#This Row],[Discount]] / 100))) - Table1[[#This Row],[Unit_Cost]])</f>
        <v>15392.520428999997</v>
      </c>
      <c r="G112" s="3">
        <v>33</v>
      </c>
      <c r="H112" t="s">
        <v>29</v>
      </c>
      <c r="I112">
        <v>450.72</v>
      </c>
      <c r="J112" s="2">
        <v>918.17</v>
      </c>
      <c r="K112" t="s">
        <v>17</v>
      </c>
      <c r="L112" s="4">
        <v>0.11</v>
      </c>
      <c r="M112" t="s">
        <v>18</v>
      </c>
      <c r="N112" t="s">
        <v>19</v>
      </c>
      <c r="O112" t="s">
        <v>23</v>
      </c>
    </row>
    <row r="113" spans="1:15" x14ac:dyDescent="0.25">
      <c r="A113" s="3">
        <v>1088</v>
      </c>
      <c r="B113" s="1">
        <v>45196</v>
      </c>
      <c r="C113" t="s">
        <v>38</v>
      </c>
      <c r="D113" t="s">
        <v>15</v>
      </c>
      <c r="E113" s="2">
        <f>Table1[[#This Row],[Quantity_Sold]] * Table1[[#This Row],[Unit_Price]] * (1 - (Table1[[#This Row],[Discount]] / 100))</f>
        <v>58187.228039999885</v>
      </c>
      <c r="F113" s="2">
        <f>Table1[[#This Row],[Quantity_Sold]] * ((Table1[[#This Row],[Unit_Price]] * (1 - (Table1[[#This Row],[Discount]] / 100))) - Table1[[#This Row],[Unit_Cost]])</f>
        <v>5516.3480399998916</v>
      </c>
      <c r="G113" s="3">
        <v>12</v>
      </c>
      <c r="H113" t="s">
        <v>29</v>
      </c>
      <c r="I113">
        <v>4389.24</v>
      </c>
      <c r="J113" s="2">
        <v>4856.2199999999903</v>
      </c>
      <c r="K113" t="s">
        <v>17</v>
      </c>
      <c r="L113" s="4">
        <v>0.15</v>
      </c>
      <c r="M113" t="s">
        <v>18</v>
      </c>
      <c r="N113" t="s">
        <v>22</v>
      </c>
      <c r="O113" t="s">
        <v>40</v>
      </c>
    </row>
    <row r="114" spans="1:15" x14ac:dyDescent="0.25">
      <c r="A114" s="3">
        <v>1001</v>
      </c>
      <c r="B114" s="1">
        <v>45242</v>
      </c>
      <c r="C114" t="s">
        <v>42</v>
      </c>
      <c r="D114" t="s">
        <v>15</v>
      </c>
      <c r="E114" s="2">
        <f>Table1[[#This Row],[Quantity_Sold]] * Table1[[#This Row],[Unit_Price]] * (1 - (Table1[[#This Row],[Discount]] / 100))</f>
        <v>29807.309256</v>
      </c>
      <c r="F114" s="2">
        <f>Table1[[#This Row],[Quantity_Sold]] * ((Table1[[#This Row],[Unit_Price]] * (1 - (Table1[[#This Row],[Discount]] / 100))) - Table1[[#This Row],[Unit_Cost]])</f>
        <v>544.02925600000162</v>
      </c>
      <c r="G114" s="3">
        <v>8</v>
      </c>
      <c r="H114" t="s">
        <v>35</v>
      </c>
      <c r="I114">
        <v>3657.91</v>
      </c>
      <c r="J114" s="2">
        <v>3729.27</v>
      </c>
      <c r="K114" t="s">
        <v>30</v>
      </c>
      <c r="L114" s="4">
        <v>0.09</v>
      </c>
      <c r="M114" t="s">
        <v>27</v>
      </c>
      <c r="N114" t="s">
        <v>22</v>
      </c>
      <c r="O114" t="s">
        <v>49</v>
      </c>
    </row>
    <row r="115" spans="1:15" x14ac:dyDescent="0.25">
      <c r="A115" s="3">
        <v>1008</v>
      </c>
      <c r="B115" s="1">
        <v>45212</v>
      </c>
      <c r="C115" t="s">
        <v>38</v>
      </c>
      <c r="D115" t="s">
        <v>21</v>
      </c>
      <c r="E115" s="2">
        <f>Table1[[#This Row],[Quantity_Sold]] * Table1[[#This Row],[Unit_Price]] * (1 - (Table1[[#This Row],[Discount]] / 100))</f>
        <v>41659.131720000005</v>
      </c>
      <c r="F115" s="2">
        <f>Table1[[#This Row],[Quantity_Sold]] * ((Table1[[#This Row],[Unit_Price]] * (1 - (Table1[[#This Row],[Discount]] / 100))) - Table1[[#This Row],[Unit_Cost]])</f>
        <v>4645.3717199999992</v>
      </c>
      <c r="G115" s="3">
        <v>24</v>
      </c>
      <c r="H115" t="s">
        <v>35</v>
      </c>
      <c r="I115">
        <v>1542.24</v>
      </c>
      <c r="J115" s="2">
        <v>1739.45</v>
      </c>
      <c r="K115" t="s">
        <v>17</v>
      </c>
      <c r="L115" s="4">
        <v>0.21</v>
      </c>
      <c r="M115" t="s">
        <v>27</v>
      </c>
      <c r="N115" t="s">
        <v>22</v>
      </c>
      <c r="O115" t="s">
        <v>41</v>
      </c>
    </row>
    <row r="116" spans="1:15" x14ac:dyDescent="0.25">
      <c r="A116" s="3">
        <v>1088</v>
      </c>
      <c r="B116" s="1">
        <v>45217</v>
      </c>
      <c r="C116" t="s">
        <v>38</v>
      </c>
      <c r="D116" t="s">
        <v>21</v>
      </c>
      <c r="E116" s="2">
        <f>Table1[[#This Row],[Quantity_Sold]] * Table1[[#This Row],[Unit_Price]] * (1 - (Table1[[#This Row],[Discount]] / 100))</f>
        <v>48525.185632000001</v>
      </c>
      <c r="F116" s="2">
        <f>Table1[[#This Row],[Quantity_Sold]] * ((Table1[[#This Row],[Unit_Price]] * (1 - (Table1[[#This Row],[Discount]] / 100))) - Table1[[#This Row],[Unit_Cost]])</f>
        <v>254.78563199999917</v>
      </c>
      <c r="G116" s="3">
        <v>16</v>
      </c>
      <c r="H116" t="s">
        <v>16</v>
      </c>
      <c r="I116">
        <v>3016.9</v>
      </c>
      <c r="J116" s="2">
        <v>3040.73</v>
      </c>
      <c r="K116" t="s">
        <v>30</v>
      </c>
      <c r="L116" s="4">
        <v>0.26</v>
      </c>
      <c r="M116" t="s">
        <v>27</v>
      </c>
      <c r="N116" t="s">
        <v>22</v>
      </c>
      <c r="O116" t="s">
        <v>41</v>
      </c>
    </row>
    <row r="117" spans="1:15" x14ac:dyDescent="0.25">
      <c r="A117" s="3">
        <v>1063</v>
      </c>
      <c r="B117" s="1">
        <v>45139</v>
      </c>
      <c r="C117" t="s">
        <v>14</v>
      </c>
      <c r="D117" t="s">
        <v>25</v>
      </c>
      <c r="E117" s="2">
        <f>Table1[[#This Row],[Quantity_Sold]] * Table1[[#This Row],[Unit_Price]] * (1 - (Table1[[#This Row],[Discount]] / 100))</f>
        <v>5895.8489559999998</v>
      </c>
      <c r="F117" s="2">
        <f>Table1[[#This Row],[Quantity_Sold]] * ((Table1[[#This Row],[Unit_Price]] * (1 - (Table1[[#This Row],[Discount]] / 100))) - Table1[[#This Row],[Unit_Cost]])</f>
        <v>1710.8089559999999</v>
      </c>
      <c r="G117" s="3">
        <v>4</v>
      </c>
      <c r="H117" t="s">
        <v>35</v>
      </c>
      <c r="I117">
        <v>1046.26</v>
      </c>
      <c r="J117" s="2">
        <v>1475.29</v>
      </c>
      <c r="K117" t="s">
        <v>17</v>
      </c>
      <c r="L117" s="4">
        <v>0.09</v>
      </c>
      <c r="M117" t="s">
        <v>27</v>
      </c>
      <c r="N117" t="s">
        <v>22</v>
      </c>
      <c r="O117" t="s">
        <v>32</v>
      </c>
    </row>
    <row r="118" spans="1:15" x14ac:dyDescent="0.25">
      <c r="A118" s="3">
        <v>1011</v>
      </c>
      <c r="B118" s="1">
        <v>45091</v>
      </c>
      <c r="C118" t="s">
        <v>42</v>
      </c>
      <c r="D118" t="s">
        <v>25</v>
      </c>
      <c r="E118" s="2">
        <f>Table1[[#This Row],[Quantity_Sold]] * Table1[[#This Row],[Unit_Price]] * (1 - (Table1[[#This Row],[Discount]] / 100))</f>
        <v>176307.63191200001</v>
      </c>
      <c r="F118" s="2">
        <f>Table1[[#This Row],[Quantity_Sold]] * ((Table1[[#This Row],[Unit_Price]] * (1 - (Table1[[#This Row],[Discount]] / 100))) - Table1[[#This Row],[Unit_Cost]])</f>
        <v>6954.171911999998</v>
      </c>
      <c r="G118" s="3">
        <v>38</v>
      </c>
      <c r="H118" t="s">
        <v>16</v>
      </c>
      <c r="I118">
        <v>4456.67</v>
      </c>
      <c r="J118" s="2">
        <v>4642.46</v>
      </c>
      <c r="K118" t="s">
        <v>30</v>
      </c>
      <c r="L118" s="4">
        <v>0.06</v>
      </c>
      <c r="M118" t="s">
        <v>27</v>
      </c>
      <c r="N118" t="s">
        <v>19</v>
      </c>
      <c r="O118" t="s">
        <v>43</v>
      </c>
    </row>
    <row r="119" spans="1:15" x14ac:dyDescent="0.25">
      <c r="A119" s="3">
        <v>1081</v>
      </c>
      <c r="B119" s="1">
        <v>44931</v>
      </c>
      <c r="C119" t="s">
        <v>14</v>
      </c>
      <c r="D119" t="s">
        <v>25</v>
      </c>
      <c r="E119" s="2">
        <f>Table1[[#This Row],[Quantity_Sold]] * Table1[[#This Row],[Unit_Price]] * (1 - (Table1[[#This Row],[Discount]] / 100))</f>
        <v>41261.377871999997</v>
      </c>
      <c r="F119" s="2">
        <f>Table1[[#This Row],[Quantity_Sold]] * ((Table1[[#This Row],[Unit_Price]] * (1 - (Table1[[#This Row],[Discount]] / 100))) - Table1[[#This Row],[Unit_Cost]])</f>
        <v>14034.617872000003</v>
      </c>
      <c r="G119" s="3">
        <v>44</v>
      </c>
      <c r="H119" t="s">
        <v>26</v>
      </c>
      <c r="I119">
        <v>618.79</v>
      </c>
      <c r="J119" s="2">
        <v>938.04</v>
      </c>
      <c r="K119" t="s">
        <v>17</v>
      </c>
      <c r="L119" s="4">
        <v>0.03</v>
      </c>
      <c r="M119" t="s">
        <v>18</v>
      </c>
      <c r="N119" t="s">
        <v>19</v>
      </c>
      <c r="O119" t="s">
        <v>32</v>
      </c>
    </row>
    <row r="120" spans="1:15" x14ac:dyDescent="0.25">
      <c r="A120" s="3">
        <v>1008</v>
      </c>
      <c r="B120" s="1">
        <v>45265</v>
      </c>
      <c r="C120" t="s">
        <v>33</v>
      </c>
      <c r="D120" t="s">
        <v>34</v>
      </c>
      <c r="E120" s="2">
        <f>Table1[[#This Row],[Quantity_Sold]] * Table1[[#This Row],[Unit_Price]] * (1 - (Table1[[#This Row],[Discount]] / 100))</f>
        <v>11569.966505999999</v>
      </c>
      <c r="F120" s="2">
        <f>Table1[[#This Row],[Quantity_Sold]] * ((Table1[[#This Row],[Unit_Price]] * (1 - (Table1[[#This Row],[Discount]] / 100))) - Table1[[#This Row],[Unit_Cost]])</f>
        <v>9707.2365060000011</v>
      </c>
      <c r="G120" s="3">
        <v>27</v>
      </c>
      <c r="H120" t="s">
        <v>35</v>
      </c>
      <c r="I120">
        <v>68.989999999999995</v>
      </c>
      <c r="J120" s="2">
        <v>429.29</v>
      </c>
      <c r="K120" t="s">
        <v>17</v>
      </c>
      <c r="L120" s="4">
        <v>0.18</v>
      </c>
      <c r="M120" t="s">
        <v>31</v>
      </c>
      <c r="N120" t="s">
        <v>22</v>
      </c>
      <c r="O120" t="s">
        <v>36</v>
      </c>
    </row>
    <row r="121" spans="1:15" x14ac:dyDescent="0.25">
      <c r="A121" s="3">
        <v>1035</v>
      </c>
      <c r="B121" s="1">
        <v>45004</v>
      </c>
      <c r="C121" t="s">
        <v>14</v>
      </c>
      <c r="D121" t="s">
        <v>25</v>
      </c>
      <c r="E121" s="2">
        <f>Table1[[#This Row],[Quantity_Sold]] * Table1[[#This Row],[Unit_Price]] * (1 - (Table1[[#This Row],[Discount]] / 100))</f>
        <v>24767.799948</v>
      </c>
      <c r="F121" s="2">
        <f>Table1[[#This Row],[Quantity_Sold]] * ((Table1[[#This Row],[Unit_Price]] * (1 - (Table1[[#This Row],[Discount]] / 100))) - Table1[[#This Row],[Unit_Cost]])</f>
        <v>1953.3399480000012</v>
      </c>
      <c r="G121" s="3">
        <v>9</v>
      </c>
      <c r="H121" t="s">
        <v>29</v>
      </c>
      <c r="I121">
        <v>2534.94</v>
      </c>
      <c r="J121" s="2">
        <v>2755.56</v>
      </c>
      <c r="K121" t="s">
        <v>17</v>
      </c>
      <c r="L121" s="4">
        <v>0.13</v>
      </c>
      <c r="M121" t="s">
        <v>31</v>
      </c>
      <c r="N121" t="s">
        <v>22</v>
      </c>
      <c r="O121" t="s">
        <v>32</v>
      </c>
    </row>
    <row r="122" spans="1:15" x14ac:dyDescent="0.25">
      <c r="A122" s="3">
        <v>1035</v>
      </c>
      <c r="B122" s="1">
        <v>44988</v>
      </c>
      <c r="C122" t="s">
        <v>14</v>
      </c>
      <c r="D122" t="s">
        <v>21</v>
      </c>
      <c r="E122" s="2">
        <f>Table1[[#This Row],[Quantity_Sold]] * Table1[[#This Row],[Unit_Price]] * (1 - (Table1[[#This Row],[Discount]] / 100))</f>
        <v>145454.75475199998</v>
      </c>
      <c r="F122" s="2">
        <f>Table1[[#This Row],[Quantity_Sold]] * ((Table1[[#This Row],[Unit_Price]] * (1 - (Table1[[#This Row],[Discount]] / 100))) - Table1[[#This Row],[Unit_Cost]])</f>
        <v>7440.1947519999831</v>
      </c>
      <c r="G122" s="3">
        <v>47</v>
      </c>
      <c r="H122" t="s">
        <v>35</v>
      </c>
      <c r="I122">
        <v>2936.48</v>
      </c>
      <c r="J122" s="2">
        <v>3096.64</v>
      </c>
      <c r="K122" t="s">
        <v>30</v>
      </c>
      <c r="L122" s="4">
        <v>0.06</v>
      </c>
      <c r="M122" t="s">
        <v>27</v>
      </c>
      <c r="N122" t="s">
        <v>19</v>
      </c>
      <c r="O122" t="s">
        <v>23</v>
      </c>
    </row>
    <row r="123" spans="1:15" x14ac:dyDescent="0.25">
      <c r="A123" s="3">
        <v>1033</v>
      </c>
      <c r="B123" s="1">
        <v>45058</v>
      </c>
      <c r="C123" t="s">
        <v>14</v>
      </c>
      <c r="D123" t="s">
        <v>15</v>
      </c>
      <c r="E123" s="2">
        <f>Table1[[#This Row],[Quantity_Sold]] * Table1[[#This Row],[Unit_Price]] * (1 - (Table1[[#This Row],[Discount]] / 100))</f>
        <v>54249.044480000004</v>
      </c>
      <c r="F123" s="2">
        <f>Table1[[#This Row],[Quantity_Sold]] * ((Table1[[#This Row],[Unit_Price]] * (1 - (Table1[[#This Row],[Discount]] / 100))) - Table1[[#This Row],[Unit_Cost]])</f>
        <v>7594.9644800000024</v>
      </c>
      <c r="G123" s="3">
        <v>16</v>
      </c>
      <c r="H123" t="s">
        <v>16</v>
      </c>
      <c r="I123">
        <v>2915.88</v>
      </c>
      <c r="J123" s="2">
        <v>3397.36</v>
      </c>
      <c r="K123" t="s">
        <v>30</v>
      </c>
      <c r="L123" s="4">
        <v>0.2</v>
      </c>
      <c r="M123" t="s">
        <v>27</v>
      </c>
      <c r="N123" t="s">
        <v>22</v>
      </c>
      <c r="O123" t="s">
        <v>20</v>
      </c>
    </row>
    <row r="124" spans="1:15" x14ac:dyDescent="0.25">
      <c r="A124" s="3">
        <v>1005</v>
      </c>
      <c r="B124" s="1">
        <v>45015</v>
      </c>
      <c r="C124" t="s">
        <v>42</v>
      </c>
      <c r="D124" t="s">
        <v>34</v>
      </c>
      <c r="E124" s="2">
        <f>Table1[[#This Row],[Quantity_Sold]] * Table1[[#This Row],[Unit_Price]] * (1 - (Table1[[#This Row],[Discount]] / 100))</f>
        <v>9625.3083360000001</v>
      </c>
      <c r="F124" s="2">
        <f>Table1[[#This Row],[Quantity_Sold]] * ((Table1[[#This Row],[Unit_Price]] * (1 - (Table1[[#This Row],[Discount]] / 100))) - Table1[[#This Row],[Unit_Cost]])</f>
        <v>5787.348336</v>
      </c>
      <c r="G124" s="3">
        <v>12</v>
      </c>
      <c r="H124" t="s">
        <v>35</v>
      </c>
      <c r="I124">
        <v>319.83</v>
      </c>
      <c r="J124" s="2">
        <v>802.43</v>
      </c>
      <c r="K124" t="s">
        <v>30</v>
      </c>
      <c r="L124" s="4">
        <v>0.04</v>
      </c>
      <c r="M124" t="s">
        <v>31</v>
      </c>
      <c r="N124" t="s">
        <v>22</v>
      </c>
      <c r="O124" t="s">
        <v>52</v>
      </c>
    </row>
    <row r="125" spans="1:15" x14ac:dyDescent="0.25">
      <c r="A125" s="3">
        <v>1041</v>
      </c>
      <c r="B125" s="1">
        <v>45163</v>
      </c>
      <c r="C125" t="s">
        <v>14</v>
      </c>
      <c r="D125" t="s">
        <v>25</v>
      </c>
      <c r="E125" s="2">
        <f>Table1[[#This Row],[Quantity_Sold]] * Table1[[#This Row],[Unit_Price]] * (1 - (Table1[[#This Row],[Discount]] / 100))</f>
        <v>54353.980881999996</v>
      </c>
      <c r="F125" s="2">
        <f>Table1[[#This Row],[Quantity_Sold]] * ((Table1[[#This Row],[Unit_Price]] * (1 - (Table1[[#This Row],[Discount]] / 100))) - Table1[[#This Row],[Unit_Cost]])</f>
        <v>4613.860881999999</v>
      </c>
      <c r="G125" s="3">
        <v>31</v>
      </c>
      <c r="H125" t="s">
        <v>26</v>
      </c>
      <c r="I125">
        <v>1604.52</v>
      </c>
      <c r="J125" s="2">
        <v>1756.34</v>
      </c>
      <c r="K125" t="s">
        <v>17</v>
      </c>
      <c r="L125" s="4">
        <v>0.17</v>
      </c>
      <c r="M125" t="s">
        <v>18</v>
      </c>
      <c r="N125" t="s">
        <v>22</v>
      </c>
      <c r="O125" t="s">
        <v>32</v>
      </c>
    </row>
    <row r="126" spans="1:15" x14ac:dyDescent="0.25">
      <c r="A126" s="3">
        <v>1028</v>
      </c>
      <c r="B126" s="1">
        <v>44968</v>
      </c>
      <c r="C126" t="s">
        <v>42</v>
      </c>
      <c r="D126" t="s">
        <v>34</v>
      </c>
      <c r="E126" s="2">
        <f>Table1[[#This Row],[Quantity_Sold]] * Table1[[#This Row],[Unit_Price]] * (1 - (Table1[[#This Row],[Discount]] / 100))</f>
        <v>66278.983680000005</v>
      </c>
      <c r="F126" s="2">
        <f>Table1[[#This Row],[Quantity_Sold]] * ((Table1[[#This Row],[Unit_Price]] * (1 - (Table1[[#This Row],[Discount]] / 100))) - Table1[[#This Row],[Unit_Cost]])</f>
        <v>5774.2636799999927</v>
      </c>
      <c r="G126" s="3">
        <v>24</v>
      </c>
      <c r="H126" t="s">
        <v>29</v>
      </c>
      <c r="I126">
        <v>2521.0300000000002</v>
      </c>
      <c r="J126" s="2">
        <v>2766.05</v>
      </c>
      <c r="K126" t="s">
        <v>17</v>
      </c>
      <c r="L126" s="4">
        <v>0.16</v>
      </c>
      <c r="M126" t="s">
        <v>27</v>
      </c>
      <c r="N126" t="s">
        <v>22</v>
      </c>
      <c r="O126" t="s">
        <v>52</v>
      </c>
    </row>
    <row r="127" spans="1:15" x14ac:dyDescent="0.25">
      <c r="A127" s="3">
        <v>1007</v>
      </c>
      <c r="B127" s="1">
        <v>45015</v>
      </c>
      <c r="C127" t="s">
        <v>24</v>
      </c>
      <c r="D127" t="s">
        <v>34</v>
      </c>
      <c r="E127" s="2">
        <f>Table1[[#This Row],[Quantity_Sold]] * Table1[[#This Row],[Unit_Price]] * (1 - (Table1[[#This Row],[Discount]] / 100))</f>
        <v>22473.090192</v>
      </c>
      <c r="F127" s="2">
        <f>Table1[[#This Row],[Quantity_Sold]] * ((Table1[[#This Row],[Unit_Price]] * (1 - (Table1[[#This Row],[Discount]] / 100))) - Table1[[#This Row],[Unit_Cost]])</f>
        <v>6764.110192000001</v>
      </c>
      <c r="G127" s="3">
        <v>14</v>
      </c>
      <c r="H127" t="s">
        <v>16</v>
      </c>
      <c r="I127">
        <v>1122.07</v>
      </c>
      <c r="J127" s="2">
        <v>1608.76</v>
      </c>
      <c r="K127" t="s">
        <v>30</v>
      </c>
      <c r="L127" s="4">
        <v>0.22</v>
      </c>
      <c r="M127" t="s">
        <v>18</v>
      </c>
      <c r="N127" t="s">
        <v>22</v>
      </c>
      <c r="O127" t="s">
        <v>50</v>
      </c>
    </row>
    <row r="128" spans="1:15" x14ac:dyDescent="0.25">
      <c r="A128" s="3">
        <v>1073</v>
      </c>
      <c r="B128" s="1">
        <v>45222</v>
      </c>
      <c r="C128" t="s">
        <v>33</v>
      </c>
      <c r="D128" t="s">
        <v>25</v>
      </c>
      <c r="E128" s="2">
        <f>Table1[[#This Row],[Quantity_Sold]] * Table1[[#This Row],[Unit_Price]] * (1 - (Table1[[#This Row],[Discount]] / 100))</f>
        <v>197145.61299000002</v>
      </c>
      <c r="F128" s="2">
        <f>Table1[[#This Row],[Quantity_Sold]] * ((Table1[[#This Row],[Unit_Price]] * (1 - (Table1[[#This Row],[Discount]] / 100))) - Table1[[#This Row],[Unit_Cost]])</f>
        <v>518.11299000001782</v>
      </c>
      <c r="G128" s="3">
        <v>45</v>
      </c>
      <c r="H128" t="s">
        <v>29</v>
      </c>
      <c r="I128">
        <v>4369.5</v>
      </c>
      <c r="J128" s="2">
        <v>4381.8900000000003</v>
      </c>
      <c r="K128" t="s">
        <v>17</v>
      </c>
      <c r="L128" s="4">
        <v>0.02</v>
      </c>
      <c r="M128" t="s">
        <v>31</v>
      </c>
      <c r="N128" t="s">
        <v>22</v>
      </c>
      <c r="O128" t="s">
        <v>44</v>
      </c>
    </row>
    <row r="129" spans="1:15" x14ac:dyDescent="0.25">
      <c r="A129" s="3">
        <v>1072</v>
      </c>
      <c r="B129" s="1">
        <v>45254</v>
      </c>
      <c r="C129" t="s">
        <v>42</v>
      </c>
      <c r="D129" t="s">
        <v>34</v>
      </c>
      <c r="E129" s="2">
        <f>Table1[[#This Row],[Quantity_Sold]] * Table1[[#This Row],[Unit_Price]] * (1 - (Table1[[#This Row],[Discount]] / 100))</f>
        <v>17288.195499999998</v>
      </c>
      <c r="F129" s="2">
        <f>Table1[[#This Row],[Quantity_Sold]] * ((Table1[[#This Row],[Unit_Price]] * (1 - (Table1[[#This Row],[Discount]] / 100))) - Table1[[#This Row],[Unit_Cost]])</f>
        <v>5258.445499999998</v>
      </c>
      <c r="G129" s="3">
        <v>25</v>
      </c>
      <c r="H129" t="s">
        <v>29</v>
      </c>
      <c r="I129">
        <v>481.19</v>
      </c>
      <c r="J129" s="2">
        <v>693.4</v>
      </c>
      <c r="K129" t="s">
        <v>30</v>
      </c>
      <c r="L129" s="4">
        <v>0.27</v>
      </c>
      <c r="M129" t="s">
        <v>31</v>
      </c>
      <c r="N129" t="s">
        <v>22</v>
      </c>
      <c r="O129" t="s">
        <v>52</v>
      </c>
    </row>
    <row r="130" spans="1:15" x14ac:dyDescent="0.25">
      <c r="A130" s="3">
        <v>1012</v>
      </c>
      <c r="B130" s="1">
        <v>45221</v>
      </c>
      <c r="C130" t="s">
        <v>24</v>
      </c>
      <c r="D130" t="s">
        <v>15</v>
      </c>
      <c r="E130" s="2">
        <f>Table1[[#This Row],[Quantity_Sold]] * Table1[[#This Row],[Unit_Price]] * (1 - (Table1[[#This Row],[Discount]] / 100))</f>
        <v>85560.125621999992</v>
      </c>
      <c r="F130" s="2">
        <f>Table1[[#This Row],[Quantity_Sold]] * ((Table1[[#This Row],[Unit_Price]] * (1 - (Table1[[#This Row],[Discount]] / 100))) - Table1[[#This Row],[Unit_Cost]])</f>
        <v>1833.4256219999943</v>
      </c>
      <c r="G130" s="3">
        <v>34</v>
      </c>
      <c r="H130" t="s">
        <v>16</v>
      </c>
      <c r="I130">
        <v>2462.5500000000002</v>
      </c>
      <c r="J130" s="2">
        <v>2521.77</v>
      </c>
      <c r="K130" t="s">
        <v>30</v>
      </c>
      <c r="L130" s="4">
        <v>0.21</v>
      </c>
      <c r="M130" t="s">
        <v>27</v>
      </c>
      <c r="N130" t="s">
        <v>22</v>
      </c>
      <c r="O130" t="s">
        <v>45</v>
      </c>
    </row>
    <row r="131" spans="1:15" x14ac:dyDescent="0.25">
      <c r="A131" s="3">
        <v>1034</v>
      </c>
      <c r="B131" s="1">
        <v>45030</v>
      </c>
      <c r="C131" t="s">
        <v>42</v>
      </c>
      <c r="D131" t="s">
        <v>21</v>
      </c>
      <c r="E131" s="2">
        <f>Table1[[#This Row],[Quantity_Sold]] * Table1[[#This Row],[Unit_Price]] * (1 - (Table1[[#This Row],[Discount]] / 100))</f>
        <v>11189.2824</v>
      </c>
      <c r="F131" s="2">
        <f>Table1[[#This Row],[Quantity_Sold]] * ((Table1[[#This Row],[Unit_Price]] * (1 - (Table1[[#This Row],[Discount]] / 100))) - Table1[[#This Row],[Unit_Cost]])</f>
        <v>771.7523999999994</v>
      </c>
      <c r="G131" s="3">
        <v>3</v>
      </c>
      <c r="H131" t="s">
        <v>29</v>
      </c>
      <c r="I131">
        <v>3472.51</v>
      </c>
      <c r="J131" s="2">
        <v>3732</v>
      </c>
      <c r="K131" t="s">
        <v>30</v>
      </c>
      <c r="L131" s="4">
        <v>0.06</v>
      </c>
      <c r="M131" t="s">
        <v>18</v>
      </c>
      <c r="N131" t="s">
        <v>19</v>
      </c>
      <c r="O131" t="s">
        <v>51</v>
      </c>
    </row>
    <row r="132" spans="1:15" x14ac:dyDescent="0.25">
      <c r="A132" s="3">
        <v>1033</v>
      </c>
      <c r="B132" s="1">
        <v>44940</v>
      </c>
      <c r="C132" t="s">
        <v>42</v>
      </c>
      <c r="D132" t="s">
        <v>21</v>
      </c>
      <c r="E132" s="2">
        <f>Table1[[#This Row],[Quantity_Sold]] * Table1[[#This Row],[Unit_Price]] * (1 - (Table1[[#This Row],[Discount]] / 100))</f>
        <v>32806.544255999994</v>
      </c>
      <c r="F132" s="2">
        <f>Table1[[#This Row],[Quantity_Sold]] * ((Table1[[#This Row],[Unit_Price]] * (1 - (Table1[[#This Row],[Discount]] / 100))) - Table1[[#This Row],[Unit_Cost]])</f>
        <v>510.46425599999566</v>
      </c>
      <c r="G132" s="3">
        <v>24</v>
      </c>
      <c r="H132" t="s">
        <v>29</v>
      </c>
      <c r="I132">
        <v>1345.67</v>
      </c>
      <c r="J132" s="2">
        <v>1367.76</v>
      </c>
      <c r="K132" t="s">
        <v>30</v>
      </c>
      <c r="L132" s="4">
        <v>0.06</v>
      </c>
      <c r="M132" t="s">
        <v>27</v>
      </c>
      <c r="N132" t="s">
        <v>19</v>
      </c>
      <c r="O132" t="s">
        <v>51</v>
      </c>
    </row>
    <row r="133" spans="1:15" x14ac:dyDescent="0.25">
      <c r="A133" s="3">
        <v>1048</v>
      </c>
      <c r="B133" s="1">
        <v>45214</v>
      </c>
      <c r="C133" t="s">
        <v>33</v>
      </c>
      <c r="D133" t="s">
        <v>15</v>
      </c>
      <c r="E133" s="2">
        <f>Table1[[#This Row],[Quantity_Sold]] * Table1[[#This Row],[Unit_Price]] * (1 - (Table1[[#This Row],[Discount]] / 100))</f>
        <v>140490.66439800002</v>
      </c>
      <c r="F133" s="2">
        <f>Table1[[#This Row],[Quantity_Sold]] * ((Table1[[#This Row],[Unit_Price]] * (1 - (Table1[[#This Row],[Discount]] / 100))) - Table1[[#This Row],[Unit_Cost]])</f>
        <v>8611.0843980000172</v>
      </c>
      <c r="G133" s="3">
        <v>42</v>
      </c>
      <c r="H133" t="s">
        <v>35</v>
      </c>
      <c r="I133">
        <v>3139.99</v>
      </c>
      <c r="J133" s="2">
        <v>3349.37</v>
      </c>
      <c r="K133" t="s">
        <v>17</v>
      </c>
      <c r="L133" s="4">
        <v>0.13</v>
      </c>
      <c r="M133" t="s">
        <v>31</v>
      </c>
      <c r="N133" t="s">
        <v>22</v>
      </c>
      <c r="O133" t="s">
        <v>53</v>
      </c>
    </row>
    <row r="134" spans="1:15" x14ac:dyDescent="0.25">
      <c r="A134" s="3">
        <v>1023</v>
      </c>
      <c r="B134" s="1">
        <v>45105</v>
      </c>
      <c r="C134" t="s">
        <v>38</v>
      </c>
      <c r="D134" t="s">
        <v>34</v>
      </c>
      <c r="E134" s="2">
        <f>Table1[[#This Row],[Quantity_Sold]] * Table1[[#This Row],[Unit_Price]] * (1 - (Table1[[#This Row],[Discount]] / 100))</f>
        <v>38366.244000000006</v>
      </c>
      <c r="F134" s="2">
        <f>Table1[[#This Row],[Quantity_Sold]] * ((Table1[[#This Row],[Unit_Price]] * (1 - (Table1[[#This Row],[Discount]] / 100))) - Table1[[#This Row],[Unit_Cost]])</f>
        <v>967.10400000000118</v>
      </c>
      <c r="G134" s="3">
        <v>9</v>
      </c>
      <c r="H134" t="s">
        <v>29</v>
      </c>
      <c r="I134">
        <v>4155.46</v>
      </c>
      <c r="J134" s="2">
        <v>4273.6000000000004</v>
      </c>
      <c r="K134" t="s">
        <v>17</v>
      </c>
      <c r="L134" s="4">
        <v>0.25</v>
      </c>
      <c r="M134" t="s">
        <v>18</v>
      </c>
      <c r="N134" t="s">
        <v>22</v>
      </c>
      <c r="O134" t="s">
        <v>48</v>
      </c>
    </row>
    <row r="135" spans="1:15" x14ac:dyDescent="0.25">
      <c r="A135" s="3">
        <v>1062</v>
      </c>
      <c r="B135" s="1">
        <v>45051</v>
      </c>
      <c r="C135" t="s">
        <v>38</v>
      </c>
      <c r="D135" t="s">
        <v>25</v>
      </c>
      <c r="E135" s="2">
        <f>Table1[[#This Row],[Quantity_Sold]] * Table1[[#This Row],[Unit_Price]] * (1 - (Table1[[#This Row],[Discount]] / 100))</f>
        <v>32768.613149999997</v>
      </c>
      <c r="F135" s="2">
        <f>Table1[[#This Row],[Quantity_Sold]] * ((Table1[[#This Row],[Unit_Price]] * (1 - (Table1[[#This Row],[Discount]] / 100))) - Table1[[#This Row],[Unit_Cost]])</f>
        <v>6972.193150000001</v>
      </c>
      <c r="G135" s="3">
        <v>26</v>
      </c>
      <c r="H135" t="s">
        <v>29</v>
      </c>
      <c r="I135">
        <v>992.17</v>
      </c>
      <c r="J135" s="2">
        <v>1263.49</v>
      </c>
      <c r="K135" t="s">
        <v>17</v>
      </c>
      <c r="L135" s="4">
        <v>0.25</v>
      </c>
      <c r="M135" t="s">
        <v>27</v>
      </c>
      <c r="N135" t="s">
        <v>22</v>
      </c>
      <c r="O135" t="s">
        <v>39</v>
      </c>
    </row>
    <row r="136" spans="1:15" x14ac:dyDescent="0.25">
      <c r="A136" s="3">
        <v>1088</v>
      </c>
      <c r="B136" s="1">
        <v>45279</v>
      </c>
      <c r="C136" t="s">
        <v>42</v>
      </c>
      <c r="D136" t="s">
        <v>34</v>
      </c>
      <c r="E136" s="2">
        <f>Table1[[#This Row],[Quantity_Sold]] * Table1[[#This Row],[Unit_Price]] * (1 - (Table1[[#This Row],[Discount]] / 100))</f>
        <v>101602.77503999999</v>
      </c>
      <c r="F136" s="2">
        <f>Table1[[#This Row],[Quantity_Sold]] * ((Table1[[#This Row],[Unit_Price]] * (1 - (Table1[[#This Row],[Discount]] / 100))) - Table1[[#This Row],[Unit_Cost]])</f>
        <v>9797.9750400000012</v>
      </c>
      <c r="G136" s="3">
        <v>20</v>
      </c>
      <c r="H136" t="s">
        <v>29</v>
      </c>
      <c r="I136">
        <v>4590.24</v>
      </c>
      <c r="J136" s="2">
        <v>5088.28</v>
      </c>
      <c r="K136" t="s">
        <v>30</v>
      </c>
      <c r="L136" s="4">
        <v>0.16</v>
      </c>
      <c r="M136" t="s">
        <v>27</v>
      </c>
      <c r="N136" t="s">
        <v>22</v>
      </c>
      <c r="O136" t="s">
        <v>52</v>
      </c>
    </row>
    <row r="137" spans="1:15" x14ac:dyDescent="0.25">
      <c r="A137" s="3">
        <v>1037</v>
      </c>
      <c r="B137" s="1">
        <v>44949</v>
      </c>
      <c r="C137" t="s">
        <v>14</v>
      </c>
      <c r="D137" t="s">
        <v>15</v>
      </c>
      <c r="E137" s="2">
        <f>Table1[[#This Row],[Quantity_Sold]] * Table1[[#This Row],[Unit_Price]] * (1 - (Table1[[#This Row],[Discount]] / 100))</f>
        <v>127362.79351999998</v>
      </c>
      <c r="F137" s="2">
        <f>Table1[[#This Row],[Quantity_Sold]] * ((Table1[[#This Row],[Unit_Price]] * (1 - (Table1[[#This Row],[Discount]] / 100))) - Table1[[#This Row],[Unit_Cost]])</f>
        <v>15758.393519999991</v>
      </c>
      <c r="G137" s="3">
        <v>40</v>
      </c>
      <c r="H137" t="s">
        <v>29</v>
      </c>
      <c r="I137">
        <v>2790.11</v>
      </c>
      <c r="J137" s="2">
        <v>3192.37</v>
      </c>
      <c r="K137" t="s">
        <v>17</v>
      </c>
      <c r="L137" s="4">
        <v>0.26</v>
      </c>
      <c r="M137" t="s">
        <v>27</v>
      </c>
      <c r="N137" t="s">
        <v>19</v>
      </c>
      <c r="O137" t="s">
        <v>20</v>
      </c>
    </row>
    <row r="138" spans="1:15" x14ac:dyDescent="0.25">
      <c r="A138" s="3">
        <v>1099</v>
      </c>
      <c r="B138" s="1">
        <v>44989</v>
      </c>
      <c r="C138" t="s">
        <v>24</v>
      </c>
      <c r="D138" t="s">
        <v>34</v>
      </c>
      <c r="E138" s="2">
        <f>Table1[[#This Row],[Quantity_Sold]] * Table1[[#This Row],[Unit_Price]] * (1 - (Table1[[#This Row],[Discount]] / 100))</f>
        <v>19555.599999999999</v>
      </c>
      <c r="F138" s="2">
        <f>Table1[[#This Row],[Quantity_Sold]] * ((Table1[[#This Row],[Unit_Price]] * (1 - (Table1[[#This Row],[Discount]] / 100))) - Table1[[#This Row],[Unit_Cost]])</f>
        <v>4243.5999999999985</v>
      </c>
      <c r="G138" s="3">
        <v>10</v>
      </c>
      <c r="H138" t="s">
        <v>16</v>
      </c>
      <c r="I138">
        <v>1531.2</v>
      </c>
      <c r="J138" s="2">
        <v>1955.56</v>
      </c>
      <c r="K138" t="s">
        <v>30</v>
      </c>
      <c r="L138" s="4">
        <v>0</v>
      </c>
      <c r="M138" t="s">
        <v>31</v>
      </c>
      <c r="N138" t="s">
        <v>19</v>
      </c>
      <c r="O138" t="s">
        <v>50</v>
      </c>
    </row>
    <row r="139" spans="1:15" x14ac:dyDescent="0.25">
      <c r="A139" s="3">
        <v>1044</v>
      </c>
      <c r="B139" s="1">
        <v>45069</v>
      </c>
      <c r="C139" t="s">
        <v>14</v>
      </c>
      <c r="D139" t="s">
        <v>21</v>
      </c>
      <c r="E139" s="2">
        <f>Table1[[#This Row],[Quantity_Sold]] * Table1[[#This Row],[Unit_Price]] * (1 - (Table1[[#This Row],[Discount]] / 100))</f>
        <v>47571.812342999809</v>
      </c>
      <c r="F139" s="2">
        <f>Table1[[#This Row],[Quantity_Sold]] * ((Table1[[#This Row],[Unit_Price]] * (1 - (Table1[[#This Row],[Discount]] / 100))) - Table1[[#This Row],[Unit_Cost]])</f>
        <v>6099.5623429998141</v>
      </c>
      <c r="G139" s="3">
        <v>19</v>
      </c>
      <c r="H139" t="s">
        <v>26</v>
      </c>
      <c r="I139">
        <v>2182.75</v>
      </c>
      <c r="J139" s="2">
        <v>2504.0299999999902</v>
      </c>
      <c r="K139" t="s">
        <v>30</v>
      </c>
      <c r="L139" s="4">
        <v>0.01</v>
      </c>
      <c r="M139" t="s">
        <v>27</v>
      </c>
      <c r="N139" t="s">
        <v>19</v>
      </c>
      <c r="O139" t="s">
        <v>23</v>
      </c>
    </row>
    <row r="140" spans="1:15" x14ac:dyDescent="0.25">
      <c r="A140" s="3">
        <v>1086</v>
      </c>
      <c r="B140" s="1">
        <v>45079</v>
      </c>
      <c r="C140" t="s">
        <v>14</v>
      </c>
      <c r="D140" t="s">
        <v>34</v>
      </c>
      <c r="E140" s="2">
        <f>Table1[[#This Row],[Quantity_Sold]] * Table1[[#This Row],[Unit_Price]] * (1 - (Table1[[#This Row],[Discount]] / 100))</f>
        <v>4863.96174899997</v>
      </c>
      <c r="F140" s="2">
        <f>Table1[[#This Row],[Quantity_Sold]] * ((Table1[[#This Row],[Unit_Price]] * (1 - (Table1[[#This Row],[Discount]] / 100))) - Table1[[#This Row],[Unit_Cost]])</f>
        <v>77.911748999970087</v>
      </c>
      <c r="G140" s="3">
        <v>3</v>
      </c>
      <c r="H140" t="s">
        <v>35</v>
      </c>
      <c r="I140">
        <v>1595.35</v>
      </c>
      <c r="J140" s="2">
        <v>1625.70999999999</v>
      </c>
      <c r="K140" t="s">
        <v>30</v>
      </c>
      <c r="L140" s="4">
        <v>0.27</v>
      </c>
      <c r="M140" t="s">
        <v>18</v>
      </c>
      <c r="N140" t="s">
        <v>19</v>
      </c>
      <c r="O140" t="s">
        <v>46</v>
      </c>
    </row>
    <row r="141" spans="1:15" x14ac:dyDescent="0.25">
      <c r="A141" s="3">
        <v>1091</v>
      </c>
      <c r="B141" s="1">
        <v>45071</v>
      </c>
      <c r="C141" t="s">
        <v>42</v>
      </c>
      <c r="D141" t="s">
        <v>15</v>
      </c>
      <c r="E141" s="2">
        <f>Table1[[#This Row],[Quantity_Sold]] * Table1[[#This Row],[Unit_Price]] * (1 - (Table1[[#This Row],[Discount]] / 100))</f>
        <v>89808.085223999995</v>
      </c>
      <c r="F141" s="2">
        <f>Table1[[#This Row],[Quantity_Sold]] * ((Table1[[#This Row],[Unit_Price]] * (1 - (Table1[[#This Row],[Discount]] / 100))) - Table1[[#This Row],[Unit_Cost]])</f>
        <v>2464.8852240000015</v>
      </c>
      <c r="G141" s="3">
        <v>24</v>
      </c>
      <c r="H141" t="s">
        <v>29</v>
      </c>
      <c r="I141">
        <v>3639.3</v>
      </c>
      <c r="J141" s="2">
        <v>3750.63</v>
      </c>
      <c r="K141" t="s">
        <v>30</v>
      </c>
      <c r="L141" s="4">
        <v>0.23</v>
      </c>
      <c r="M141" t="s">
        <v>27</v>
      </c>
      <c r="N141" t="s">
        <v>22</v>
      </c>
      <c r="O141" t="s">
        <v>49</v>
      </c>
    </row>
    <row r="142" spans="1:15" x14ac:dyDescent="0.25">
      <c r="A142" s="3">
        <v>1035</v>
      </c>
      <c r="B142" s="1">
        <v>45151</v>
      </c>
      <c r="C142" t="s">
        <v>42</v>
      </c>
      <c r="D142" t="s">
        <v>21</v>
      </c>
      <c r="E142" s="2">
        <f>Table1[[#This Row],[Quantity_Sold]] * Table1[[#This Row],[Unit_Price]] * (1 - (Table1[[#This Row],[Discount]] / 100))</f>
        <v>22243.665210000003</v>
      </c>
      <c r="F142" s="2">
        <f>Table1[[#This Row],[Quantity_Sold]] * ((Table1[[#This Row],[Unit_Price]] * (1 - (Table1[[#This Row],[Discount]] / 100))) - Table1[[#This Row],[Unit_Cost]])</f>
        <v>2285.2152100000035</v>
      </c>
      <c r="G142" s="3">
        <v>5</v>
      </c>
      <c r="H142" t="s">
        <v>29</v>
      </c>
      <c r="I142">
        <v>3991.69</v>
      </c>
      <c r="J142" s="2">
        <v>4454.97</v>
      </c>
      <c r="K142" t="s">
        <v>30</v>
      </c>
      <c r="L142" s="4">
        <v>0.14000000000000001</v>
      </c>
      <c r="M142" t="s">
        <v>31</v>
      </c>
      <c r="N142" t="s">
        <v>22</v>
      </c>
      <c r="O142" t="s">
        <v>51</v>
      </c>
    </row>
    <row r="143" spans="1:15" x14ac:dyDescent="0.25">
      <c r="A143" s="3">
        <v>1065</v>
      </c>
      <c r="B143" s="1">
        <v>45235</v>
      </c>
      <c r="C143" t="s">
        <v>42</v>
      </c>
      <c r="D143" t="s">
        <v>34</v>
      </c>
      <c r="E143" s="2">
        <f>Table1[[#This Row],[Quantity_Sold]] * Table1[[#This Row],[Unit_Price]] * (1 - (Table1[[#This Row],[Discount]] / 100))</f>
        <v>13057.219164</v>
      </c>
      <c r="F143" s="2">
        <f>Table1[[#This Row],[Quantity_Sold]] * ((Table1[[#This Row],[Unit_Price]] * (1 - (Table1[[#This Row],[Discount]] / 100))) - Table1[[#This Row],[Unit_Cost]])</f>
        <v>538.09916399999838</v>
      </c>
      <c r="G143" s="3">
        <v>3</v>
      </c>
      <c r="H143" t="s">
        <v>16</v>
      </c>
      <c r="I143">
        <v>4173.04</v>
      </c>
      <c r="J143" s="2">
        <v>4362.4399999999996</v>
      </c>
      <c r="K143" t="s">
        <v>30</v>
      </c>
      <c r="L143" s="4">
        <v>0.23</v>
      </c>
      <c r="M143" t="s">
        <v>27</v>
      </c>
      <c r="N143" t="s">
        <v>22</v>
      </c>
      <c r="O143" t="s">
        <v>52</v>
      </c>
    </row>
    <row r="144" spans="1:15" x14ac:dyDescent="0.25">
      <c r="A144" s="3">
        <v>1099</v>
      </c>
      <c r="B144" s="1">
        <v>45030</v>
      </c>
      <c r="C144" t="s">
        <v>42</v>
      </c>
      <c r="D144" t="s">
        <v>34</v>
      </c>
      <c r="E144" s="2">
        <f>Table1[[#This Row],[Quantity_Sold]] * Table1[[#This Row],[Unit_Price]] * (1 - (Table1[[#This Row],[Discount]] / 100))</f>
        <v>134348.16716099999</v>
      </c>
      <c r="F144" s="2">
        <f>Table1[[#This Row],[Quantity_Sold]] * ((Table1[[#This Row],[Unit_Price]] * (1 - (Table1[[#This Row],[Discount]] / 100))) - Table1[[#This Row],[Unit_Cost]])</f>
        <v>1250.3171609999999</v>
      </c>
      <c r="G144" s="3">
        <v>27</v>
      </c>
      <c r="H144" t="s">
        <v>26</v>
      </c>
      <c r="I144">
        <v>4929.55</v>
      </c>
      <c r="J144" s="2">
        <v>4990.33</v>
      </c>
      <c r="K144" t="s">
        <v>17</v>
      </c>
      <c r="L144" s="4">
        <v>0.28999999999999998</v>
      </c>
      <c r="M144" t="s">
        <v>31</v>
      </c>
      <c r="N144" t="s">
        <v>19</v>
      </c>
      <c r="O144" t="s">
        <v>52</v>
      </c>
    </row>
    <row r="145" spans="1:15" x14ac:dyDescent="0.25">
      <c r="A145" s="3">
        <v>1047</v>
      </c>
      <c r="B145" s="1">
        <v>45030</v>
      </c>
      <c r="C145" t="s">
        <v>38</v>
      </c>
      <c r="D145" t="s">
        <v>21</v>
      </c>
      <c r="E145" s="2">
        <f>Table1[[#This Row],[Quantity_Sold]] * Table1[[#This Row],[Unit_Price]] * (1 - (Table1[[#This Row],[Discount]] / 100))</f>
        <v>68977.625727999999</v>
      </c>
      <c r="F145" s="2">
        <f>Table1[[#This Row],[Quantity_Sold]] * ((Table1[[#This Row],[Unit_Price]] * (1 - (Table1[[#This Row],[Discount]] / 100))) - Table1[[#This Row],[Unit_Cost]])</f>
        <v>5507.865727999997</v>
      </c>
      <c r="G145" s="3">
        <v>16</v>
      </c>
      <c r="H145" t="s">
        <v>29</v>
      </c>
      <c r="I145">
        <v>3966.86</v>
      </c>
      <c r="J145" s="2">
        <v>4321.04</v>
      </c>
      <c r="K145" t="s">
        <v>17</v>
      </c>
      <c r="L145" s="4">
        <v>0.23</v>
      </c>
      <c r="M145" t="s">
        <v>31</v>
      </c>
      <c r="N145" t="s">
        <v>22</v>
      </c>
      <c r="O145" t="s">
        <v>41</v>
      </c>
    </row>
    <row r="146" spans="1:15" x14ac:dyDescent="0.25">
      <c r="A146" s="3">
        <v>1078</v>
      </c>
      <c r="B146" s="1">
        <v>44965</v>
      </c>
      <c r="C146" t="s">
        <v>42</v>
      </c>
      <c r="D146" t="s">
        <v>25</v>
      </c>
      <c r="E146" s="2">
        <f>Table1[[#This Row],[Quantity_Sold]] * Table1[[#This Row],[Unit_Price]] * (1 - (Table1[[#This Row],[Discount]] / 100))</f>
        <v>155605.43145</v>
      </c>
      <c r="F146" s="2">
        <f>Table1[[#This Row],[Quantity_Sold]] * ((Table1[[#This Row],[Unit_Price]] * (1 - (Table1[[#This Row],[Discount]] / 100))) - Table1[[#This Row],[Unit_Cost]])</f>
        <v>7289.781450000014</v>
      </c>
      <c r="G146" s="3">
        <v>49</v>
      </c>
      <c r="H146" t="s">
        <v>16</v>
      </c>
      <c r="I146">
        <v>3026.85</v>
      </c>
      <c r="J146" s="2">
        <v>3183.58</v>
      </c>
      <c r="K146" t="s">
        <v>17</v>
      </c>
      <c r="L146" s="4">
        <v>0.25</v>
      </c>
      <c r="M146" t="s">
        <v>18</v>
      </c>
      <c r="N146" t="s">
        <v>22</v>
      </c>
      <c r="O146" t="s">
        <v>43</v>
      </c>
    </row>
    <row r="147" spans="1:15" x14ac:dyDescent="0.25">
      <c r="A147" s="3">
        <v>1003</v>
      </c>
      <c r="B147" s="1">
        <v>45124</v>
      </c>
      <c r="C147" t="s">
        <v>38</v>
      </c>
      <c r="D147" t="s">
        <v>21</v>
      </c>
      <c r="E147" s="2">
        <f>Table1[[#This Row],[Quantity_Sold]] * Table1[[#This Row],[Unit_Price]] * (1 - (Table1[[#This Row],[Discount]] / 100))</f>
        <v>27998.654640000001</v>
      </c>
      <c r="F147" s="2">
        <f>Table1[[#This Row],[Quantity_Sold]] * ((Table1[[#This Row],[Unit_Price]] * (1 - (Table1[[#This Row],[Discount]] / 100))) - Table1[[#This Row],[Unit_Cost]])</f>
        <v>2061.5546399999994</v>
      </c>
      <c r="G147" s="3">
        <v>15</v>
      </c>
      <c r="H147" t="s">
        <v>35</v>
      </c>
      <c r="I147">
        <v>1729.14</v>
      </c>
      <c r="J147" s="2">
        <v>1870.88</v>
      </c>
      <c r="K147" t="s">
        <v>17</v>
      </c>
      <c r="L147" s="4">
        <v>0.23</v>
      </c>
      <c r="M147" t="s">
        <v>18</v>
      </c>
      <c r="N147" t="s">
        <v>19</v>
      </c>
      <c r="O147" t="s">
        <v>41</v>
      </c>
    </row>
    <row r="148" spans="1:15" x14ac:dyDescent="0.25">
      <c r="A148" s="3">
        <v>1001</v>
      </c>
      <c r="B148" s="1">
        <v>45060</v>
      </c>
      <c r="C148" t="s">
        <v>38</v>
      </c>
      <c r="D148" t="s">
        <v>25</v>
      </c>
      <c r="E148" s="2">
        <f>Table1[[#This Row],[Quantity_Sold]] * Table1[[#This Row],[Unit_Price]] * (1 - (Table1[[#This Row],[Discount]] / 100))</f>
        <v>113509.81670000001</v>
      </c>
      <c r="F148" s="2">
        <f>Table1[[#This Row],[Quantity_Sold]] * ((Table1[[#This Row],[Unit_Price]] * (1 - (Table1[[#This Row],[Discount]] / 100))) - Table1[[#This Row],[Unit_Cost]])</f>
        <v>17408.566700000014</v>
      </c>
      <c r="G148" s="3">
        <v>35</v>
      </c>
      <c r="H148" t="s">
        <v>35</v>
      </c>
      <c r="I148">
        <v>2745.75</v>
      </c>
      <c r="J148" s="2">
        <v>3244.76</v>
      </c>
      <c r="K148" t="s">
        <v>30</v>
      </c>
      <c r="L148" s="4">
        <v>0.05</v>
      </c>
      <c r="M148" t="s">
        <v>27</v>
      </c>
      <c r="N148" t="s">
        <v>19</v>
      </c>
      <c r="O148" t="s">
        <v>39</v>
      </c>
    </row>
    <row r="149" spans="1:15" x14ac:dyDescent="0.25">
      <c r="A149" s="3">
        <v>1005</v>
      </c>
      <c r="B149" s="1">
        <v>44993</v>
      </c>
      <c r="C149" t="s">
        <v>42</v>
      </c>
      <c r="D149" t="s">
        <v>15</v>
      </c>
      <c r="E149" s="2">
        <f>Table1[[#This Row],[Quantity_Sold]] * Table1[[#This Row],[Unit_Price]] * (1 - (Table1[[#This Row],[Discount]] / 100))</f>
        <v>8184.8466000000008</v>
      </c>
      <c r="F149" s="2">
        <f>Table1[[#This Row],[Quantity_Sold]] * ((Table1[[#This Row],[Unit_Price]] * (1 - (Table1[[#This Row],[Discount]] / 100))) - Table1[[#This Row],[Unit_Cost]])</f>
        <v>5145.3666000000012</v>
      </c>
      <c r="G149" s="3">
        <v>12</v>
      </c>
      <c r="H149" t="s">
        <v>29</v>
      </c>
      <c r="I149">
        <v>253.29</v>
      </c>
      <c r="J149" s="2">
        <v>683.78</v>
      </c>
      <c r="K149" t="s">
        <v>30</v>
      </c>
      <c r="L149" s="4">
        <v>0.25</v>
      </c>
      <c r="M149" t="s">
        <v>31</v>
      </c>
      <c r="N149" t="s">
        <v>19</v>
      </c>
      <c r="O149" t="s">
        <v>49</v>
      </c>
    </row>
    <row r="150" spans="1:15" x14ac:dyDescent="0.25">
      <c r="A150" s="3">
        <v>1090</v>
      </c>
      <c r="B150" s="1">
        <v>45105</v>
      </c>
      <c r="C150" t="s">
        <v>33</v>
      </c>
      <c r="D150" t="s">
        <v>15</v>
      </c>
      <c r="E150" s="2">
        <f>Table1[[#This Row],[Quantity_Sold]] * Table1[[#This Row],[Unit_Price]] * (1 - (Table1[[#This Row],[Discount]] / 100))</f>
        <v>161720.47945799999</v>
      </c>
      <c r="F150" s="2">
        <f>Table1[[#This Row],[Quantity_Sold]] * ((Table1[[#This Row],[Unit_Price]] * (1 - (Table1[[#This Row],[Discount]] / 100))) - Table1[[#This Row],[Unit_Cost]])</f>
        <v>8508.3994579999944</v>
      </c>
      <c r="G150" s="3">
        <v>41</v>
      </c>
      <c r="H150" t="s">
        <v>29</v>
      </c>
      <c r="I150">
        <v>3736.88</v>
      </c>
      <c r="J150" s="2">
        <v>3946.77</v>
      </c>
      <c r="K150" t="s">
        <v>17</v>
      </c>
      <c r="L150" s="4">
        <v>0.06</v>
      </c>
      <c r="M150" t="s">
        <v>31</v>
      </c>
      <c r="N150" t="s">
        <v>19</v>
      </c>
      <c r="O150" t="s">
        <v>53</v>
      </c>
    </row>
    <row r="151" spans="1:15" x14ac:dyDescent="0.25">
      <c r="A151" s="3">
        <v>1014</v>
      </c>
      <c r="B151" s="1">
        <v>44968</v>
      </c>
      <c r="C151" t="s">
        <v>24</v>
      </c>
      <c r="D151" t="s">
        <v>21</v>
      </c>
      <c r="E151" s="2">
        <f>Table1[[#This Row],[Quantity_Sold]] * Table1[[#This Row],[Unit_Price]] * (1 - (Table1[[#This Row],[Discount]] / 100))</f>
        <v>120577.200172</v>
      </c>
      <c r="F151" s="2">
        <f>Table1[[#This Row],[Quantity_Sold]] * ((Table1[[#This Row],[Unit_Price]] * (1 - (Table1[[#This Row],[Discount]] / 100))) - Table1[[#This Row],[Unit_Cost]])</f>
        <v>21248.080171999987</v>
      </c>
      <c r="G151" s="3">
        <v>44</v>
      </c>
      <c r="H151" t="s">
        <v>26</v>
      </c>
      <c r="I151">
        <v>2257.48</v>
      </c>
      <c r="J151" s="2">
        <v>2747.81</v>
      </c>
      <c r="K151" t="s">
        <v>17</v>
      </c>
      <c r="L151" s="4">
        <v>0.27</v>
      </c>
      <c r="M151" t="s">
        <v>18</v>
      </c>
      <c r="N151" t="s">
        <v>19</v>
      </c>
      <c r="O151" t="s">
        <v>47</v>
      </c>
    </row>
    <row r="152" spans="1:15" x14ac:dyDescent="0.25">
      <c r="A152" s="3">
        <v>1027</v>
      </c>
      <c r="B152" s="1">
        <v>44941</v>
      </c>
      <c r="C152" t="s">
        <v>14</v>
      </c>
      <c r="D152" t="s">
        <v>21</v>
      </c>
      <c r="E152" s="2">
        <f>Table1[[#This Row],[Quantity_Sold]] * Table1[[#This Row],[Unit_Price]] * (1 - (Table1[[#This Row],[Discount]] / 100))</f>
        <v>12402.032812000001</v>
      </c>
      <c r="F152" s="2">
        <f>Table1[[#This Row],[Quantity_Sold]] * ((Table1[[#This Row],[Unit_Price]] * (1 - (Table1[[#This Row],[Discount]] / 100))) - Table1[[#This Row],[Unit_Cost]])</f>
        <v>8525.1728120000007</v>
      </c>
      <c r="G152" s="3">
        <v>26</v>
      </c>
      <c r="H152" t="s">
        <v>26</v>
      </c>
      <c r="I152">
        <v>149.11000000000001</v>
      </c>
      <c r="J152" s="2">
        <v>477.67</v>
      </c>
      <c r="K152" t="s">
        <v>17</v>
      </c>
      <c r="L152" s="4">
        <v>0.14000000000000001</v>
      </c>
      <c r="M152" t="s">
        <v>18</v>
      </c>
      <c r="N152" t="s">
        <v>22</v>
      </c>
      <c r="O152" t="s">
        <v>23</v>
      </c>
    </row>
    <row r="153" spans="1:15" x14ac:dyDescent="0.25">
      <c r="A153" s="3">
        <v>1009</v>
      </c>
      <c r="B153" s="1">
        <v>45037</v>
      </c>
      <c r="C153" t="s">
        <v>38</v>
      </c>
      <c r="D153" t="s">
        <v>15</v>
      </c>
      <c r="E153" s="2">
        <f>Table1[[#This Row],[Quantity_Sold]] * Table1[[#This Row],[Unit_Price]] * (1 - (Table1[[#This Row],[Discount]] / 100))</f>
        <v>34382.097999999998</v>
      </c>
      <c r="F153" s="2">
        <f>Table1[[#This Row],[Quantity_Sold]] * ((Table1[[#This Row],[Unit_Price]] * (1 - (Table1[[#This Row],[Discount]] / 100))) - Table1[[#This Row],[Unit_Cost]])</f>
        <v>17489.827999999998</v>
      </c>
      <c r="G153" s="3">
        <v>47</v>
      </c>
      <c r="H153" t="s">
        <v>29</v>
      </c>
      <c r="I153">
        <v>359.41</v>
      </c>
      <c r="J153" s="2">
        <v>733</v>
      </c>
      <c r="K153" t="s">
        <v>17</v>
      </c>
      <c r="L153" s="4">
        <v>0.2</v>
      </c>
      <c r="M153" t="s">
        <v>27</v>
      </c>
      <c r="N153" t="s">
        <v>22</v>
      </c>
      <c r="O153" t="s">
        <v>40</v>
      </c>
    </row>
    <row r="154" spans="1:15" x14ac:dyDescent="0.25">
      <c r="A154" s="3">
        <v>1079</v>
      </c>
      <c r="B154" s="1">
        <v>45083</v>
      </c>
      <c r="C154" t="s">
        <v>24</v>
      </c>
      <c r="D154" t="s">
        <v>25</v>
      </c>
      <c r="E154" s="2">
        <f>Table1[[#This Row],[Quantity_Sold]] * Table1[[#This Row],[Unit_Price]] * (1 - (Table1[[#This Row],[Discount]] / 100))</f>
        <v>67673.936600000015</v>
      </c>
      <c r="F154" s="2">
        <f>Table1[[#This Row],[Quantity_Sold]] * ((Table1[[#This Row],[Unit_Price]] * (1 - (Table1[[#This Row],[Discount]] / 100))) - Table1[[#This Row],[Unit_Cost]])</f>
        <v>763.2966000000024</v>
      </c>
      <c r="G154" s="3">
        <v>34</v>
      </c>
      <c r="H154" t="s">
        <v>16</v>
      </c>
      <c r="I154">
        <v>1967.96</v>
      </c>
      <c r="J154" s="2">
        <v>1993.4</v>
      </c>
      <c r="K154" t="s">
        <v>17</v>
      </c>
      <c r="L154" s="4">
        <v>0.15</v>
      </c>
      <c r="M154" t="s">
        <v>31</v>
      </c>
      <c r="N154" t="s">
        <v>19</v>
      </c>
      <c r="O154" t="s">
        <v>28</v>
      </c>
    </row>
    <row r="155" spans="1:15" x14ac:dyDescent="0.25">
      <c r="A155" s="3">
        <v>1015</v>
      </c>
      <c r="B155" s="1">
        <v>45215</v>
      </c>
      <c r="C155" t="s">
        <v>33</v>
      </c>
      <c r="D155" t="s">
        <v>15</v>
      </c>
      <c r="E155" s="2">
        <f>Table1[[#This Row],[Quantity_Sold]] * Table1[[#This Row],[Unit_Price]] * (1 - (Table1[[#This Row],[Discount]] / 100))</f>
        <v>69152.438043000002</v>
      </c>
      <c r="F155" s="2">
        <f>Table1[[#This Row],[Quantity_Sold]] * ((Table1[[#This Row],[Unit_Price]] * (1 - (Table1[[#This Row],[Discount]] / 100))) - Table1[[#This Row],[Unit_Cost]])</f>
        <v>1579.8180430000043</v>
      </c>
      <c r="G155" s="3">
        <v>23</v>
      </c>
      <c r="H155" t="s">
        <v>26</v>
      </c>
      <c r="I155">
        <v>2937.94</v>
      </c>
      <c r="J155" s="2">
        <v>3007.53</v>
      </c>
      <c r="K155" t="s">
        <v>17</v>
      </c>
      <c r="L155" s="4">
        <v>0.03</v>
      </c>
      <c r="M155" t="s">
        <v>18</v>
      </c>
      <c r="N155" t="s">
        <v>22</v>
      </c>
      <c r="O155" t="s">
        <v>53</v>
      </c>
    </row>
    <row r="156" spans="1:15" x14ac:dyDescent="0.25">
      <c r="A156" s="3">
        <v>1090</v>
      </c>
      <c r="B156" s="1">
        <v>45157</v>
      </c>
      <c r="C156" t="s">
        <v>14</v>
      </c>
      <c r="D156" t="s">
        <v>21</v>
      </c>
      <c r="E156" s="2">
        <f>Table1[[#This Row],[Quantity_Sold]] * Table1[[#This Row],[Unit_Price]] * (1 - (Table1[[#This Row],[Discount]] / 100))</f>
        <v>82634.182241999995</v>
      </c>
      <c r="F156" s="2">
        <f>Table1[[#This Row],[Quantity_Sold]] * ((Table1[[#This Row],[Unit_Price]] * (1 - (Table1[[#This Row],[Discount]] / 100))) - Table1[[#This Row],[Unit_Cost]])</f>
        <v>9852.072242000002</v>
      </c>
      <c r="G156" s="3">
        <v>31</v>
      </c>
      <c r="H156" t="s">
        <v>29</v>
      </c>
      <c r="I156">
        <v>2347.81</v>
      </c>
      <c r="J156" s="2">
        <v>2668.02</v>
      </c>
      <c r="K156" t="s">
        <v>17</v>
      </c>
      <c r="L156" s="4">
        <v>0.09</v>
      </c>
      <c r="M156" t="s">
        <v>27</v>
      </c>
      <c r="N156" t="s">
        <v>22</v>
      </c>
      <c r="O156" t="s">
        <v>23</v>
      </c>
    </row>
    <row r="157" spans="1:15" x14ac:dyDescent="0.25">
      <c r="A157" s="3">
        <v>1042</v>
      </c>
      <c r="B157" s="1">
        <v>45083</v>
      </c>
      <c r="C157" t="s">
        <v>14</v>
      </c>
      <c r="D157" t="s">
        <v>15</v>
      </c>
      <c r="E157" s="2">
        <f>Table1[[#This Row],[Quantity_Sold]] * Table1[[#This Row],[Unit_Price]] * (1 - (Table1[[#This Row],[Discount]] / 100))</f>
        <v>71097.665200000003</v>
      </c>
      <c r="F157" s="2">
        <f>Table1[[#This Row],[Quantity_Sold]] * ((Table1[[#This Row],[Unit_Price]] * (1 - (Table1[[#This Row],[Discount]] / 100))) - Table1[[#This Row],[Unit_Cost]])</f>
        <v>8796.4652000000024</v>
      </c>
      <c r="G157" s="3">
        <v>20</v>
      </c>
      <c r="H157" t="s">
        <v>26</v>
      </c>
      <c r="I157">
        <v>3115.06</v>
      </c>
      <c r="J157" s="2">
        <v>3565.58</v>
      </c>
      <c r="K157" t="s">
        <v>17</v>
      </c>
      <c r="L157" s="4">
        <v>0.3</v>
      </c>
      <c r="M157" t="s">
        <v>31</v>
      </c>
      <c r="N157" t="s">
        <v>22</v>
      </c>
      <c r="O157" t="s">
        <v>20</v>
      </c>
    </row>
    <row r="158" spans="1:15" x14ac:dyDescent="0.25">
      <c r="A158" s="3">
        <v>1077</v>
      </c>
      <c r="B158" s="1">
        <v>44964</v>
      </c>
      <c r="C158" t="s">
        <v>38</v>
      </c>
      <c r="D158" t="s">
        <v>21</v>
      </c>
      <c r="E158" s="2">
        <f>Table1[[#This Row],[Quantity_Sold]] * Table1[[#This Row],[Unit_Price]] * (1 - (Table1[[#This Row],[Discount]] / 100))</f>
        <v>32821.620468000001</v>
      </c>
      <c r="F158" s="2">
        <f>Table1[[#This Row],[Quantity_Sold]] * ((Table1[[#This Row],[Unit_Price]] * (1 - (Table1[[#This Row],[Discount]] / 100))) - Table1[[#This Row],[Unit_Cost]])</f>
        <v>3692.1004680000024</v>
      </c>
      <c r="G158" s="3">
        <v>12</v>
      </c>
      <c r="H158" t="s">
        <v>29</v>
      </c>
      <c r="I158">
        <v>2427.46</v>
      </c>
      <c r="J158" s="2">
        <v>2743.09</v>
      </c>
      <c r="K158" t="s">
        <v>30</v>
      </c>
      <c r="L158" s="4">
        <v>0.28999999999999998</v>
      </c>
      <c r="M158" t="s">
        <v>31</v>
      </c>
      <c r="N158" t="s">
        <v>22</v>
      </c>
      <c r="O158" t="s">
        <v>41</v>
      </c>
    </row>
    <row r="159" spans="1:15" x14ac:dyDescent="0.25">
      <c r="A159" s="3">
        <v>1051</v>
      </c>
      <c r="B159" s="1">
        <v>45023</v>
      </c>
      <c r="C159" t="s">
        <v>42</v>
      </c>
      <c r="D159" t="s">
        <v>21</v>
      </c>
      <c r="E159" s="2">
        <f>Table1[[#This Row],[Quantity_Sold]] * Table1[[#This Row],[Unit_Price]] * (1 - (Table1[[#This Row],[Discount]] / 100))</f>
        <v>78147.074699999997</v>
      </c>
      <c r="F159" s="2">
        <f>Table1[[#This Row],[Quantity_Sold]] * ((Table1[[#This Row],[Unit_Price]] * (1 - (Table1[[#This Row],[Discount]] / 100))) - Table1[[#This Row],[Unit_Cost]])</f>
        <v>1662.1847000000007</v>
      </c>
      <c r="G159" s="3">
        <v>23</v>
      </c>
      <c r="H159" t="s">
        <v>35</v>
      </c>
      <c r="I159">
        <v>3325.43</v>
      </c>
      <c r="J159" s="2">
        <v>3401.1</v>
      </c>
      <c r="K159" t="s">
        <v>30</v>
      </c>
      <c r="L159" s="4">
        <v>0.1</v>
      </c>
      <c r="M159" t="s">
        <v>18</v>
      </c>
      <c r="N159" t="s">
        <v>19</v>
      </c>
      <c r="O159" t="s">
        <v>51</v>
      </c>
    </row>
    <row r="160" spans="1:15" x14ac:dyDescent="0.25">
      <c r="A160" s="3">
        <v>1063</v>
      </c>
      <c r="B160" s="1">
        <v>45215</v>
      </c>
      <c r="C160" t="s">
        <v>33</v>
      </c>
      <c r="D160" t="s">
        <v>15</v>
      </c>
      <c r="E160" s="2">
        <f>Table1[[#This Row],[Quantity_Sold]] * Table1[[#This Row],[Unit_Price]] * (1 - (Table1[[#This Row],[Discount]] / 100))</f>
        <v>4791.1433200000001</v>
      </c>
      <c r="F160" s="2">
        <f>Table1[[#This Row],[Quantity_Sold]] * ((Table1[[#This Row],[Unit_Price]] * (1 - (Table1[[#This Row],[Discount]] / 100))) - Table1[[#This Row],[Unit_Cost]])</f>
        <v>252.46331999999984</v>
      </c>
      <c r="G160" s="3">
        <v>4</v>
      </c>
      <c r="H160" t="s">
        <v>29</v>
      </c>
      <c r="I160">
        <v>1134.67</v>
      </c>
      <c r="J160" s="2">
        <v>1201.3900000000001</v>
      </c>
      <c r="K160" t="s">
        <v>30</v>
      </c>
      <c r="L160" s="4">
        <v>0.3</v>
      </c>
      <c r="M160" t="s">
        <v>27</v>
      </c>
      <c r="N160" t="s">
        <v>22</v>
      </c>
      <c r="O160" t="s">
        <v>53</v>
      </c>
    </row>
    <row r="161" spans="1:15" x14ac:dyDescent="0.25">
      <c r="A161" s="3">
        <v>1096</v>
      </c>
      <c r="B161" s="1">
        <v>45180</v>
      </c>
      <c r="C161" t="s">
        <v>38</v>
      </c>
      <c r="D161" t="s">
        <v>25</v>
      </c>
      <c r="E161" s="2">
        <f>Table1[[#This Row],[Quantity_Sold]] * Table1[[#This Row],[Unit_Price]] * (1 - (Table1[[#This Row],[Discount]] / 100))</f>
        <v>23681.707350000004</v>
      </c>
      <c r="F161" s="2">
        <f>Table1[[#This Row],[Quantity_Sold]] * ((Table1[[#This Row],[Unit_Price]] * (1 - (Table1[[#This Row],[Discount]] / 100))) - Table1[[#This Row],[Unit_Cost]])</f>
        <v>9684.5973500000018</v>
      </c>
      <c r="G161" s="3">
        <v>23</v>
      </c>
      <c r="H161" t="s">
        <v>35</v>
      </c>
      <c r="I161">
        <v>608.57000000000005</v>
      </c>
      <c r="J161" s="2">
        <v>1032.22</v>
      </c>
      <c r="K161" t="s">
        <v>30</v>
      </c>
      <c r="L161" s="4">
        <v>0.25</v>
      </c>
      <c r="M161" t="s">
        <v>18</v>
      </c>
      <c r="N161" t="s">
        <v>22</v>
      </c>
      <c r="O161" t="s">
        <v>39</v>
      </c>
    </row>
    <row r="162" spans="1:15" x14ac:dyDescent="0.25">
      <c r="A162" s="3">
        <v>1052</v>
      </c>
      <c r="B162" s="1">
        <v>45122</v>
      </c>
      <c r="C162" t="s">
        <v>33</v>
      </c>
      <c r="D162" t="s">
        <v>34</v>
      </c>
      <c r="E162" s="2">
        <f>Table1[[#This Row],[Quantity_Sold]] * Table1[[#This Row],[Unit_Price]] * (1 - (Table1[[#This Row],[Discount]] / 100))</f>
        <v>147603.115296</v>
      </c>
      <c r="F162" s="2">
        <f>Table1[[#This Row],[Quantity_Sold]] * ((Table1[[#This Row],[Unit_Price]] * (1 - (Table1[[#This Row],[Discount]] / 100))) - Table1[[#This Row],[Unit_Cost]])</f>
        <v>3490.3152960000079</v>
      </c>
      <c r="G162" s="3">
        <v>48</v>
      </c>
      <c r="H162" t="s">
        <v>26</v>
      </c>
      <c r="I162">
        <v>3002.35</v>
      </c>
      <c r="J162" s="2">
        <v>3080.61</v>
      </c>
      <c r="K162" t="s">
        <v>17</v>
      </c>
      <c r="L162" s="4">
        <v>0.18</v>
      </c>
      <c r="M162" t="s">
        <v>27</v>
      </c>
      <c r="N162" t="s">
        <v>22</v>
      </c>
      <c r="O162" t="s">
        <v>36</v>
      </c>
    </row>
    <row r="163" spans="1:15" x14ac:dyDescent="0.25">
      <c r="A163" s="3">
        <v>1096</v>
      </c>
      <c r="B163" s="1">
        <v>45012</v>
      </c>
      <c r="C163" t="s">
        <v>42</v>
      </c>
      <c r="D163" t="s">
        <v>15</v>
      </c>
      <c r="E163" s="2">
        <f>Table1[[#This Row],[Quantity_Sold]] * Table1[[#This Row],[Unit_Price]] * (1 - (Table1[[#This Row],[Discount]] / 100))</f>
        <v>130264.73222399999</v>
      </c>
      <c r="F163" s="2">
        <f>Table1[[#This Row],[Quantity_Sold]] * ((Table1[[#This Row],[Unit_Price]] * (1 - (Table1[[#This Row],[Discount]] / 100))) - Table1[[#This Row],[Unit_Cost]])</f>
        <v>12702.65222399999</v>
      </c>
      <c r="G163" s="3">
        <v>48</v>
      </c>
      <c r="H163" t="s">
        <v>29</v>
      </c>
      <c r="I163">
        <v>2449.21</v>
      </c>
      <c r="J163" s="2">
        <v>2714.12</v>
      </c>
      <c r="K163" t="s">
        <v>30</v>
      </c>
      <c r="L163" s="4">
        <v>0.01</v>
      </c>
      <c r="M163" t="s">
        <v>31</v>
      </c>
      <c r="N163" t="s">
        <v>19</v>
      </c>
      <c r="O163" t="s">
        <v>49</v>
      </c>
    </row>
    <row r="164" spans="1:15" x14ac:dyDescent="0.25">
      <c r="A164" s="3">
        <v>1004</v>
      </c>
      <c r="B164" s="1">
        <v>45248</v>
      </c>
      <c r="C164" t="s">
        <v>42</v>
      </c>
      <c r="D164" t="s">
        <v>34</v>
      </c>
      <c r="E164" s="2">
        <f>Table1[[#This Row],[Quantity_Sold]] * Table1[[#This Row],[Unit_Price]] * (1 - (Table1[[#This Row],[Discount]] / 100))</f>
        <v>210.609814</v>
      </c>
      <c r="F164" s="2">
        <f>Table1[[#This Row],[Quantity_Sold]] * ((Table1[[#This Row],[Unit_Price]] * (1 - (Table1[[#This Row],[Discount]] / 100))) - Table1[[#This Row],[Unit_Cost]])</f>
        <v>27.619813999999991</v>
      </c>
      <c r="G164" s="3">
        <v>1</v>
      </c>
      <c r="H164" t="s">
        <v>26</v>
      </c>
      <c r="I164">
        <v>182.99</v>
      </c>
      <c r="J164" s="2">
        <v>211.18</v>
      </c>
      <c r="K164" t="s">
        <v>17</v>
      </c>
      <c r="L164" s="4">
        <v>0.27</v>
      </c>
      <c r="M164" t="s">
        <v>27</v>
      </c>
      <c r="N164" t="s">
        <v>22</v>
      </c>
      <c r="O164" t="s">
        <v>52</v>
      </c>
    </row>
    <row r="165" spans="1:15" x14ac:dyDescent="0.25">
      <c r="A165" s="3">
        <v>1094</v>
      </c>
      <c r="B165" s="1">
        <v>44936</v>
      </c>
      <c r="C165" t="s">
        <v>38</v>
      </c>
      <c r="D165" t="s">
        <v>15</v>
      </c>
      <c r="E165" s="2">
        <f>Table1[[#This Row],[Quantity_Sold]] * Table1[[#This Row],[Unit_Price]] * (1 - (Table1[[#This Row],[Discount]] / 100))</f>
        <v>49488.725899999998</v>
      </c>
      <c r="F165" s="2">
        <f>Table1[[#This Row],[Quantity_Sold]] * ((Table1[[#This Row],[Unit_Price]] * (1 - (Table1[[#This Row],[Discount]] / 100))) - Table1[[#This Row],[Unit_Cost]])</f>
        <v>1153.9759000000004</v>
      </c>
      <c r="G165" s="3">
        <v>25</v>
      </c>
      <c r="H165" t="s">
        <v>35</v>
      </c>
      <c r="I165">
        <v>1933.39</v>
      </c>
      <c r="J165" s="2">
        <v>1982.92</v>
      </c>
      <c r="K165" t="s">
        <v>30</v>
      </c>
      <c r="L165" s="4">
        <v>0.17</v>
      </c>
      <c r="M165" t="s">
        <v>27</v>
      </c>
      <c r="N165" t="s">
        <v>19</v>
      </c>
      <c r="O165" t="s">
        <v>40</v>
      </c>
    </row>
    <row r="166" spans="1:15" x14ac:dyDescent="0.25">
      <c r="A166" s="3">
        <v>1023</v>
      </c>
      <c r="B166" s="1">
        <v>44931</v>
      </c>
      <c r="C166" t="s">
        <v>42</v>
      </c>
      <c r="D166" t="s">
        <v>34</v>
      </c>
      <c r="E166" s="2">
        <f>Table1[[#This Row],[Quantity_Sold]] * Table1[[#This Row],[Unit_Price]] * (1 - (Table1[[#This Row],[Discount]] / 100))</f>
        <v>1824.7831959999999</v>
      </c>
      <c r="F166" s="2">
        <f>Table1[[#This Row],[Quantity_Sold]] * ((Table1[[#This Row],[Unit_Price]] * (1 - (Table1[[#This Row],[Discount]] / 100))) - Table1[[#This Row],[Unit_Cost]])</f>
        <v>674.14319599999976</v>
      </c>
      <c r="G166" s="3">
        <v>2</v>
      </c>
      <c r="H166" t="s">
        <v>29</v>
      </c>
      <c r="I166">
        <v>575.32000000000005</v>
      </c>
      <c r="J166" s="2">
        <v>914.77</v>
      </c>
      <c r="K166" t="s">
        <v>17</v>
      </c>
      <c r="L166" s="4">
        <v>0.26</v>
      </c>
      <c r="M166" t="s">
        <v>27</v>
      </c>
      <c r="N166" t="s">
        <v>19</v>
      </c>
      <c r="O166" t="s">
        <v>52</v>
      </c>
    </row>
    <row r="167" spans="1:15" x14ac:dyDescent="0.25">
      <c r="A167" s="3">
        <v>1015</v>
      </c>
      <c r="B167" s="1">
        <v>45049</v>
      </c>
      <c r="C167" t="s">
        <v>24</v>
      </c>
      <c r="D167" t="s">
        <v>25</v>
      </c>
      <c r="E167" s="2">
        <f>Table1[[#This Row],[Quantity_Sold]] * Table1[[#This Row],[Unit_Price]] * (1 - (Table1[[#This Row],[Discount]] / 100))</f>
        <v>90610.505999999703</v>
      </c>
      <c r="F167" s="2">
        <f>Table1[[#This Row],[Quantity_Sold]] * ((Table1[[#This Row],[Unit_Price]] * (1 - (Table1[[#This Row],[Discount]] / 100))) - Table1[[#This Row],[Unit_Cost]])</f>
        <v>10203.905999999715</v>
      </c>
      <c r="G167" s="3">
        <v>30</v>
      </c>
      <c r="H167" t="s">
        <v>26</v>
      </c>
      <c r="I167">
        <v>2680.22</v>
      </c>
      <c r="J167" s="2">
        <v>3027.9199999999901</v>
      </c>
      <c r="K167" t="s">
        <v>17</v>
      </c>
      <c r="L167" s="4">
        <v>0.25</v>
      </c>
      <c r="M167" t="s">
        <v>27</v>
      </c>
      <c r="N167" t="s">
        <v>19</v>
      </c>
      <c r="O167" t="s">
        <v>28</v>
      </c>
    </row>
    <row r="168" spans="1:15" x14ac:dyDescent="0.25">
      <c r="A168" s="3">
        <v>1043</v>
      </c>
      <c r="B168" s="1">
        <v>45256</v>
      </c>
      <c r="C168" t="s">
        <v>14</v>
      </c>
      <c r="D168" t="s">
        <v>25</v>
      </c>
      <c r="E168" s="2">
        <f>Table1[[#This Row],[Quantity_Sold]] * Table1[[#This Row],[Unit_Price]] * (1 - (Table1[[#This Row],[Discount]] / 100))</f>
        <v>6542.8618500000002</v>
      </c>
      <c r="F168" s="2">
        <f>Table1[[#This Row],[Quantity_Sold]] * ((Table1[[#This Row],[Unit_Price]] * (1 - (Table1[[#This Row],[Discount]] / 100))) - Table1[[#This Row],[Unit_Cost]])</f>
        <v>515.5618500000005</v>
      </c>
      <c r="G168" s="3">
        <v>3</v>
      </c>
      <c r="H168" t="s">
        <v>35</v>
      </c>
      <c r="I168">
        <v>2009.1</v>
      </c>
      <c r="J168" s="2">
        <v>2186.42</v>
      </c>
      <c r="K168" t="s">
        <v>30</v>
      </c>
      <c r="L168" s="4">
        <v>0.25</v>
      </c>
      <c r="M168" t="s">
        <v>27</v>
      </c>
      <c r="N168" t="s">
        <v>19</v>
      </c>
      <c r="O168" t="s">
        <v>32</v>
      </c>
    </row>
    <row r="169" spans="1:15" x14ac:dyDescent="0.25">
      <c r="A169" s="3">
        <v>1029</v>
      </c>
      <c r="B169" s="1">
        <v>45279</v>
      </c>
      <c r="C169" t="s">
        <v>38</v>
      </c>
      <c r="D169" t="s">
        <v>15</v>
      </c>
      <c r="E169" s="2">
        <f>Table1[[#This Row],[Quantity_Sold]] * Table1[[#This Row],[Unit_Price]] * (1 - (Table1[[#This Row],[Discount]] / 100))</f>
        <v>67074.596925000005</v>
      </c>
      <c r="F169" s="2">
        <f>Table1[[#This Row],[Quantity_Sold]] * ((Table1[[#This Row],[Unit_Price]] * (1 - (Table1[[#This Row],[Discount]] / 100))) - Table1[[#This Row],[Unit_Cost]])</f>
        <v>2287.4969250000013</v>
      </c>
      <c r="G169" s="3">
        <v>21</v>
      </c>
      <c r="H169" t="s">
        <v>26</v>
      </c>
      <c r="I169">
        <v>3085.1</v>
      </c>
      <c r="J169" s="2">
        <v>3200.75</v>
      </c>
      <c r="K169" t="s">
        <v>30</v>
      </c>
      <c r="L169" s="4">
        <v>0.21</v>
      </c>
      <c r="M169" t="s">
        <v>18</v>
      </c>
      <c r="N169" t="s">
        <v>22</v>
      </c>
      <c r="O169" t="s">
        <v>40</v>
      </c>
    </row>
    <row r="170" spans="1:15" x14ac:dyDescent="0.25">
      <c r="A170" s="3">
        <v>1036</v>
      </c>
      <c r="B170" s="1">
        <v>45044</v>
      </c>
      <c r="C170" t="s">
        <v>33</v>
      </c>
      <c r="D170" t="s">
        <v>21</v>
      </c>
      <c r="E170" s="2">
        <f>Table1[[#This Row],[Quantity_Sold]] * Table1[[#This Row],[Unit_Price]] * (1 - (Table1[[#This Row],[Discount]] / 100))</f>
        <v>111061.204875</v>
      </c>
      <c r="F170" s="2">
        <f>Table1[[#This Row],[Quantity_Sold]] * ((Table1[[#This Row],[Unit_Price]] * (1 - (Table1[[#This Row],[Discount]] / 100))) - Table1[[#This Row],[Unit_Cost]])</f>
        <v>10117.954874999998</v>
      </c>
      <c r="G170" s="3">
        <v>25</v>
      </c>
      <c r="H170" t="s">
        <v>16</v>
      </c>
      <c r="I170">
        <v>4037.73</v>
      </c>
      <c r="J170" s="2">
        <v>4446.45</v>
      </c>
      <c r="K170" t="s">
        <v>17</v>
      </c>
      <c r="L170" s="4">
        <v>0.09</v>
      </c>
      <c r="M170" t="s">
        <v>27</v>
      </c>
      <c r="N170" t="s">
        <v>19</v>
      </c>
      <c r="O170" t="s">
        <v>37</v>
      </c>
    </row>
    <row r="171" spans="1:15" x14ac:dyDescent="0.25">
      <c r="A171" s="3">
        <v>1013</v>
      </c>
      <c r="B171" s="1">
        <v>45220</v>
      </c>
      <c r="C171" t="s">
        <v>24</v>
      </c>
      <c r="D171" t="s">
        <v>34</v>
      </c>
      <c r="E171" s="2">
        <f>Table1[[#This Row],[Quantity_Sold]] * Table1[[#This Row],[Unit_Price]] * (1 - (Table1[[#This Row],[Discount]] / 100))</f>
        <v>32961.805199999799</v>
      </c>
      <c r="F171" s="2">
        <f>Table1[[#This Row],[Quantity_Sold]] * ((Table1[[#This Row],[Unit_Price]] * (1 - (Table1[[#This Row],[Discount]] / 100))) - Table1[[#This Row],[Unit_Cost]])</f>
        <v>2294.6051999998008</v>
      </c>
      <c r="G171" s="3">
        <v>20</v>
      </c>
      <c r="H171" t="s">
        <v>35</v>
      </c>
      <c r="I171">
        <v>1533.36</v>
      </c>
      <c r="J171" s="2">
        <v>1649.73999999999</v>
      </c>
      <c r="K171" t="s">
        <v>17</v>
      </c>
      <c r="L171" s="4">
        <v>0.1</v>
      </c>
      <c r="M171" t="s">
        <v>27</v>
      </c>
      <c r="N171" t="s">
        <v>19</v>
      </c>
      <c r="O171" t="s">
        <v>50</v>
      </c>
    </row>
    <row r="172" spans="1:15" x14ac:dyDescent="0.25">
      <c r="A172" s="3">
        <v>1032</v>
      </c>
      <c r="B172" s="1">
        <v>45085</v>
      </c>
      <c r="C172" t="s">
        <v>38</v>
      </c>
      <c r="D172" t="s">
        <v>21</v>
      </c>
      <c r="E172" s="2">
        <f>Table1[[#This Row],[Quantity_Sold]] * Table1[[#This Row],[Unit_Price]] * (1 - (Table1[[#This Row],[Discount]] / 100))</f>
        <v>249087.61919999999</v>
      </c>
      <c r="F172" s="2">
        <f>Table1[[#This Row],[Quantity_Sold]] * ((Table1[[#This Row],[Unit_Price]] * (1 - (Table1[[#This Row],[Discount]] / 100))) - Table1[[#This Row],[Unit_Cost]])</f>
        <v>13279.529200000001</v>
      </c>
      <c r="G172" s="3">
        <v>49</v>
      </c>
      <c r="H172" t="s">
        <v>35</v>
      </c>
      <c r="I172">
        <v>4812.41</v>
      </c>
      <c r="J172" s="2">
        <v>5088</v>
      </c>
      <c r="K172" t="s">
        <v>17</v>
      </c>
      <c r="L172" s="4">
        <v>0.09</v>
      </c>
      <c r="M172" t="s">
        <v>31</v>
      </c>
      <c r="N172" t="s">
        <v>19</v>
      </c>
      <c r="O172" t="s">
        <v>41</v>
      </c>
    </row>
    <row r="173" spans="1:15" x14ac:dyDescent="0.25">
      <c r="A173" s="3">
        <v>1071</v>
      </c>
      <c r="B173" s="1">
        <v>45229</v>
      </c>
      <c r="C173" t="s">
        <v>42</v>
      </c>
      <c r="D173" t="s">
        <v>21</v>
      </c>
      <c r="E173" s="2">
        <f>Table1[[#This Row],[Quantity_Sold]] * Table1[[#This Row],[Unit_Price]] * (1 - (Table1[[#This Row],[Discount]] / 100))</f>
        <v>70080.811217999988</v>
      </c>
      <c r="F173" s="2">
        <f>Table1[[#This Row],[Quantity_Sold]] * ((Table1[[#This Row],[Unit_Price]] * (1 - (Table1[[#This Row],[Discount]] / 100))) - Table1[[#This Row],[Unit_Cost]])</f>
        <v>10650.231218000001</v>
      </c>
      <c r="G173" s="3">
        <v>22</v>
      </c>
      <c r="H173" t="s">
        <v>35</v>
      </c>
      <c r="I173">
        <v>2701.39</v>
      </c>
      <c r="J173" s="2">
        <v>3185.81</v>
      </c>
      <c r="K173" t="s">
        <v>30</v>
      </c>
      <c r="L173" s="4">
        <v>0.01</v>
      </c>
      <c r="M173" t="s">
        <v>27</v>
      </c>
      <c r="N173" t="s">
        <v>19</v>
      </c>
      <c r="O173" t="s">
        <v>51</v>
      </c>
    </row>
    <row r="174" spans="1:15" x14ac:dyDescent="0.25">
      <c r="A174" s="3">
        <v>1059</v>
      </c>
      <c r="B174" s="1">
        <v>45154</v>
      </c>
      <c r="C174" t="s">
        <v>42</v>
      </c>
      <c r="D174" t="s">
        <v>21</v>
      </c>
      <c r="E174" s="2">
        <f>Table1[[#This Row],[Quantity_Sold]] * Table1[[#This Row],[Unit_Price]] * (1 - (Table1[[#This Row],[Discount]] / 100))</f>
        <v>66938.800256999995</v>
      </c>
      <c r="F174" s="2">
        <f>Table1[[#This Row],[Quantity_Sold]] * ((Table1[[#This Row],[Unit_Price]] * (1 - (Table1[[#This Row],[Discount]] / 100))) - Table1[[#This Row],[Unit_Cost]])</f>
        <v>1617.4602569999911</v>
      </c>
      <c r="G174" s="3">
        <v>21</v>
      </c>
      <c r="H174" t="s">
        <v>29</v>
      </c>
      <c r="I174">
        <v>3110.54</v>
      </c>
      <c r="J174" s="2">
        <v>3192.99</v>
      </c>
      <c r="K174" t="s">
        <v>30</v>
      </c>
      <c r="L174" s="4">
        <v>0.17</v>
      </c>
      <c r="M174" t="s">
        <v>31</v>
      </c>
      <c r="N174" t="s">
        <v>19</v>
      </c>
      <c r="O174" t="s">
        <v>51</v>
      </c>
    </row>
    <row r="175" spans="1:15" x14ac:dyDescent="0.25">
      <c r="A175" s="3">
        <v>1086</v>
      </c>
      <c r="B175" s="1">
        <v>45291</v>
      </c>
      <c r="C175" t="s">
        <v>42</v>
      </c>
      <c r="D175" t="s">
        <v>25</v>
      </c>
      <c r="E175" s="2">
        <f>Table1[[#This Row],[Quantity_Sold]] * Table1[[#This Row],[Unit_Price]] * (1 - (Table1[[#This Row],[Discount]] / 100))</f>
        <v>128112.27805199967</v>
      </c>
      <c r="F175" s="2">
        <f>Table1[[#This Row],[Quantity_Sold]] * ((Table1[[#This Row],[Unit_Price]] * (1 - (Table1[[#This Row],[Discount]] / 100))) - Table1[[#This Row],[Unit_Cost]])</f>
        <v>15274.388051999684</v>
      </c>
      <c r="G175" s="3">
        <v>33</v>
      </c>
      <c r="H175" t="s">
        <v>29</v>
      </c>
      <c r="I175">
        <v>3419.33</v>
      </c>
      <c r="J175" s="2">
        <v>3890.3599999999901</v>
      </c>
      <c r="K175" t="s">
        <v>17</v>
      </c>
      <c r="L175" s="4">
        <v>0.21</v>
      </c>
      <c r="M175" t="s">
        <v>18</v>
      </c>
      <c r="N175" t="s">
        <v>22</v>
      </c>
      <c r="O175" t="s">
        <v>43</v>
      </c>
    </row>
    <row r="176" spans="1:15" x14ac:dyDescent="0.25">
      <c r="A176" s="3">
        <v>1028</v>
      </c>
      <c r="B176" s="1">
        <v>45142</v>
      </c>
      <c r="C176" t="s">
        <v>42</v>
      </c>
      <c r="D176" t="s">
        <v>15</v>
      </c>
      <c r="E176" s="2">
        <f>Table1[[#This Row],[Quantity_Sold]] * Table1[[#This Row],[Unit_Price]] * (1 - (Table1[[#This Row],[Discount]] / 100))</f>
        <v>130756.865928</v>
      </c>
      <c r="F176" s="2">
        <f>Table1[[#This Row],[Quantity_Sold]] * ((Table1[[#This Row],[Unit_Price]] * (1 - (Table1[[#This Row],[Discount]] / 100))) - Table1[[#This Row],[Unit_Cost]])</f>
        <v>3444.7059279999885</v>
      </c>
      <c r="G176" s="3">
        <v>38</v>
      </c>
      <c r="H176" t="s">
        <v>29</v>
      </c>
      <c r="I176">
        <v>3350.32</v>
      </c>
      <c r="J176" s="2">
        <v>3449.94</v>
      </c>
      <c r="K176" t="s">
        <v>30</v>
      </c>
      <c r="L176" s="4">
        <v>0.26</v>
      </c>
      <c r="M176" t="s">
        <v>18</v>
      </c>
      <c r="N176" t="s">
        <v>19</v>
      </c>
      <c r="O176" t="s">
        <v>49</v>
      </c>
    </row>
    <row r="177" spans="1:15" x14ac:dyDescent="0.25">
      <c r="A177" s="3">
        <v>1066</v>
      </c>
      <c r="B177" s="1">
        <v>45110</v>
      </c>
      <c r="C177" t="s">
        <v>33</v>
      </c>
      <c r="D177" t="s">
        <v>15</v>
      </c>
      <c r="E177" s="2">
        <f>Table1[[#This Row],[Quantity_Sold]] * Table1[[#This Row],[Unit_Price]] * (1 - (Table1[[#This Row],[Discount]] / 100))</f>
        <v>42993.19584</v>
      </c>
      <c r="F177" s="2">
        <f>Table1[[#This Row],[Quantity_Sold]] * ((Table1[[#This Row],[Unit_Price]] * (1 - (Table1[[#This Row],[Discount]] / 100))) - Table1[[#This Row],[Unit_Cost]])</f>
        <v>4303.5458400000016</v>
      </c>
      <c r="G177" s="3">
        <v>15</v>
      </c>
      <c r="H177" t="s">
        <v>16</v>
      </c>
      <c r="I177">
        <v>2579.31</v>
      </c>
      <c r="J177" s="2">
        <v>2867.36</v>
      </c>
      <c r="K177" t="s">
        <v>17</v>
      </c>
      <c r="L177" s="4">
        <v>0.04</v>
      </c>
      <c r="M177" t="s">
        <v>27</v>
      </c>
      <c r="N177" t="s">
        <v>22</v>
      </c>
      <c r="O177" t="s">
        <v>53</v>
      </c>
    </row>
    <row r="178" spans="1:15" x14ac:dyDescent="0.25">
      <c r="A178" s="3">
        <v>1042</v>
      </c>
      <c r="B178" s="1">
        <v>44941</v>
      </c>
      <c r="C178" t="s">
        <v>24</v>
      </c>
      <c r="D178" t="s">
        <v>25</v>
      </c>
      <c r="E178" s="2">
        <f>Table1[[#This Row],[Quantity_Sold]] * Table1[[#This Row],[Unit_Price]] * (1 - (Table1[[#This Row],[Discount]] / 100))</f>
        <v>108712.840704</v>
      </c>
      <c r="F178" s="2">
        <f>Table1[[#This Row],[Quantity_Sold]] * ((Table1[[#This Row],[Unit_Price]] * (1 - (Table1[[#This Row],[Discount]] / 100))) - Table1[[#This Row],[Unit_Cost]])</f>
        <v>8783.3607039999915</v>
      </c>
      <c r="G178" s="3">
        <v>46</v>
      </c>
      <c r="H178" t="s">
        <v>16</v>
      </c>
      <c r="I178">
        <v>2172.38</v>
      </c>
      <c r="J178" s="2">
        <v>2367.11</v>
      </c>
      <c r="K178" t="s">
        <v>30</v>
      </c>
      <c r="L178" s="4">
        <v>0.16</v>
      </c>
      <c r="M178" t="s">
        <v>18</v>
      </c>
      <c r="N178" t="s">
        <v>22</v>
      </c>
      <c r="O178" t="s">
        <v>28</v>
      </c>
    </row>
    <row r="179" spans="1:15" x14ac:dyDescent="0.25">
      <c r="A179" s="3">
        <v>1045</v>
      </c>
      <c r="B179" s="1">
        <v>45083</v>
      </c>
      <c r="C179" t="s">
        <v>14</v>
      </c>
      <c r="D179" t="s">
        <v>25</v>
      </c>
      <c r="E179" s="2">
        <f>Table1[[#This Row],[Quantity_Sold]] * Table1[[#This Row],[Unit_Price]] * (1 - (Table1[[#This Row],[Discount]] / 100))</f>
        <v>11985.599999999999</v>
      </c>
      <c r="F179" s="2">
        <f>Table1[[#This Row],[Quantity_Sold]] * ((Table1[[#This Row],[Unit_Price]] * (1 - (Table1[[#This Row],[Discount]] / 100))) - Table1[[#This Row],[Unit_Cost]])</f>
        <v>7242.2999999999993</v>
      </c>
      <c r="G179" s="3">
        <v>15</v>
      </c>
      <c r="H179" t="s">
        <v>35</v>
      </c>
      <c r="I179">
        <v>316.22000000000003</v>
      </c>
      <c r="J179" s="2">
        <v>799.04</v>
      </c>
      <c r="K179" t="s">
        <v>30</v>
      </c>
      <c r="L179" s="4">
        <v>0</v>
      </c>
      <c r="M179" t="s">
        <v>27</v>
      </c>
      <c r="N179" t="s">
        <v>19</v>
      </c>
      <c r="O179" t="s">
        <v>32</v>
      </c>
    </row>
    <row r="180" spans="1:15" x14ac:dyDescent="0.25">
      <c r="A180" s="3">
        <v>1062</v>
      </c>
      <c r="B180" s="1">
        <v>45062</v>
      </c>
      <c r="C180" t="s">
        <v>33</v>
      </c>
      <c r="D180" t="s">
        <v>15</v>
      </c>
      <c r="E180" s="2">
        <f>Table1[[#This Row],[Quantity_Sold]] * Table1[[#This Row],[Unit_Price]] * (1 - (Table1[[#This Row],[Discount]] / 100))</f>
        <v>13950.373632000003</v>
      </c>
      <c r="F180" s="2">
        <f>Table1[[#This Row],[Quantity_Sold]] * ((Table1[[#This Row],[Unit_Price]] * (1 - (Table1[[#This Row],[Discount]] / 100))) - Table1[[#This Row],[Unit_Cost]])</f>
        <v>6621.6536320000014</v>
      </c>
      <c r="G180" s="3">
        <v>46</v>
      </c>
      <c r="H180" t="s">
        <v>16</v>
      </c>
      <c r="I180">
        <v>159.32</v>
      </c>
      <c r="J180" s="2">
        <v>303.36</v>
      </c>
      <c r="K180" t="s">
        <v>30</v>
      </c>
      <c r="L180" s="4">
        <v>0.03</v>
      </c>
      <c r="M180" t="s">
        <v>18</v>
      </c>
      <c r="N180" t="s">
        <v>22</v>
      </c>
      <c r="O180" t="s">
        <v>53</v>
      </c>
    </row>
    <row r="181" spans="1:15" x14ac:dyDescent="0.25">
      <c r="A181" s="3">
        <v>1057</v>
      </c>
      <c r="B181" s="1">
        <v>45187</v>
      </c>
      <c r="C181" t="s">
        <v>33</v>
      </c>
      <c r="D181" t="s">
        <v>21</v>
      </c>
      <c r="E181" s="2">
        <f>Table1[[#This Row],[Quantity_Sold]] * Table1[[#This Row],[Unit_Price]] * (1 - (Table1[[#This Row],[Discount]] / 100))</f>
        <v>50683.361300000004</v>
      </c>
      <c r="F181" s="2">
        <f>Table1[[#This Row],[Quantity_Sold]] * ((Table1[[#This Row],[Unit_Price]] * (1 - (Table1[[#This Row],[Discount]] / 100))) - Table1[[#This Row],[Unit_Cost]])</f>
        <v>5135.6112999999996</v>
      </c>
      <c r="G181" s="3">
        <v>25</v>
      </c>
      <c r="H181" t="s">
        <v>26</v>
      </c>
      <c r="I181">
        <v>1821.91</v>
      </c>
      <c r="J181" s="2">
        <v>2027.74</v>
      </c>
      <c r="K181" t="s">
        <v>30</v>
      </c>
      <c r="L181" s="4">
        <v>0.02</v>
      </c>
      <c r="M181" t="s">
        <v>27</v>
      </c>
      <c r="N181" t="s">
        <v>22</v>
      </c>
      <c r="O181" t="s">
        <v>37</v>
      </c>
    </row>
    <row r="182" spans="1:15" x14ac:dyDescent="0.25">
      <c r="A182" s="3">
        <v>1006</v>
      </c>
      <c r="B182" s="1">
        <v>45083</v>
      </c>
      <c r="C182" t="s">
        <v>14</v>
      </c>
      <c r="D182" t="s">
        <v>34</v>
      </c>
      <c r="E182" s="2">
        <f>Table1[[#This Row],[Quantity_Sold]] * Table1[[#This Row],[Unit_Price]] * (1 - (Table1[[#This Row],[Discount]] / 100))</f>
        <v>45956.293235999998</v>
      </c>
      <c r="F182" s="2">
        <f>Table1[[#This Row],[Quantity_Sold]] * ((Table1[[#This Row],[Unit_Price]] * (1 - (Table1[[#This Row],[Discount]] / 100))) - Table1[[#This Row],[Unit_Cost]])</f>
        <v>10222.273235999997</v>
      </c>
      <c r="G182" s="3">
        <v>21</v>
      </c>
      <c r="H182" t="s">
        <v>35</v>
      </c>
      <c r="I182">
        <v>1701.62</v>
      </c>
      <c r="J182" s="2">
        <v>2193.2199999999998</v>
      </c>
      <c r="K182" t="s">
        <v>30</v>
      </c>
      <c r="L182" s="4">
        <v>0.22</v>
      </c>
      <c r="M182" t="s">
        <v>27</v>
      </c>
      <c r="N182" t="s">
        <v>22</v>
      </c>
      <c r="O182" t="s">
        <v>46</v>
      </c>
    </row>
    <row r="183" spans="1:15" x14ac:dyDescent="0.25">
      <c r="A183" s="3">
        <v>1028</v>
      </c>
      <c r="B183" s="1">
        <v>44973</v>
      </c>
      <c r="C183" t="s">
        <v>14</v>
      </c>
      <c r="D183" t="s">
        <v>34</v>
      </c>
      <c r="E183" s="2">
        <f>Table1[[#This Row],[Quantity_Sold]] * Table1[[#This Row],[Unit_Price]] * (1 - (Table1[[#This Row],[Discount]] / 100))</f>
        <v>53796.278592000002</v>
      </c>
      <c r="F183" s="2">
        <f>Table1[[#This Row],[Quantity_Sold]] * ((Table1[[#This Row],[Unit_Price]] * (1 - (Table1[[#This Row],[Discount]] / 100))) - Table1[[#This Row],[Unit_Cost]])</f>
        <v>6538.118592000008</v>
      </c>
      <c r="G183" s="3">
        <v>24</v>
      </c>
      <c r="H183" t="s">
        <v>35</v>
      </c>
      <c r="I183">
        <v>1969.09</v>
      </c>
      <c r="J183" s="2">
        <v>2241.96</v>
      </c>
      <c r="K183" t="s">
        <v>17</v>
      </c>
      <c r="L183" s="4">
        <v>0.02</v>
      </c>
      <c r="M183" t="s">
        <v>31</v>
      </c>
      <c r="N183" t="s">
        <v>19</v>
      </c>
      <c r="O183" t="s">
        <v>46</v>
      </c>
    </row>
    <row r="184" spans="1:15" x14ac:dyDescent="0.25">
      <c r="A184" s="3">
        <v>1028</v>
      </c>
      <c r="B184" s="1">
        <v>45250</v>
      </c>
      <c r="C184" t="s">
        <v>42</v>
      </c>
      <c r="D184" t="s">
        <v>34</v>
      </c>
      <c r="E184" s="2">
        <f>Table1[[#This Row],[Quantity_Sold]] * Table1[[#This Row],[Unit_Price]] * (1 - (Table1[[#This Row],[Discount]] / 100))</f>
        <v>4945.6422950000006</v>
      </c>
      <c r="F184" s="2">
        <f>Table1[[#This Row],[Quantity_Sold]] * ((Table1[[#This Row],[Unit_Price]] * (1 - (Table1[[#This Row],[Discount]] / 100))) - Table1[[#This Row],[Unit_Cost]])</f>
        <v>1271.0422950000002</v>
      </c>
      <c r="G184" s="3">
        <v>5</v>
      </c>
      <c r="H184" t="s">
        <v>26</v>
      </c>
      <c r="I184">
        <v>734.92</v>
      </c>
      <c r="J184" s="2">
        <v>991.21</v>
      </c>
      <c r="K184" t="s">
        <v>17</v>
      </c>
      <c r="L184" s="4">
        <v>0.21</v>
      </c>
      <c r="M184" t="s">
        <v>31</v>
      </c>
      <c r="N184" t="s">
        <v>19</v>
      </c>
      <c r="O184" t="s">
        <v>52</v>
      </c>
    </row>
    <row r="185" spans="1:15" x14ac:dyDescent="0.25">
      <c r="A185" s="3">
        <v>1044</v>
      </c>
      <c r="B185" s="1">
        <v>45258</v>
      </c>
      <c r="C185" t="s">
        <v>33</v>
      </c>
      <c r="D185" t="s">
        <v>21</v>
      </c>
      <c r="E185" s="2">
        <f>Table1[[#This Row],[Quantity_Sold]] * Table1[[#This Row],[Unit_Price]] * (1 - (Table1[[#This Row],[Discount]] / 100))</f>
        <v>23025.310991999999</v>
      </c>
      <c r="F185" s="2">
        <f>Table1[[#This Row],[Quantity_Sold]] * ((Table1[[#This Row],[Unit_Price]] * (1 - (Table1[[#This Row],[Discount]] / 100))) - Table1[[#This Row],[Unit_Cost]])</f>
        <v>801.73099199999888</v>
      </c>
      <c r="G185" s="3">
        <v>6</v>
      </c>
      <c r="H185" t="s">
        <v>35</v>
      </c>
      <c r="I185">
        <v>3703.93</v>
      </c>
      <c r="J185" s="2">
        <v>3840.24</v>
      </c>
      <c r="K185" t="s">
        <v>30</v>
      </c>
      <c r="L185" s="4">
        <v>7.0000000000000007E-2</v>
      </c>
      <c r="M185" t="s">
        <v>31</v>
      </c>
      <c r="N185" t="s">
        <v>19</v>
      </c>
      <c r="O185" t="s">
        <v>37</v>
      </c>
    </row>
    <row r="186" spans="1:15" x14ac:dyDescent="0.25">
      <c r="A186" s="3">
        <v>1084</v>
      </c>
      <c r="B186" s="1">
        <v>45099</v>
      </c>
      <c r="C186" t="s">
        <v>38</v>
      </c>
      <c r="D186" t="s">
        <v>15</v>
      </c>
      <c r="E186" s="2">
        <f>Table1[[#This Row],[Quantity_Sold]] * Table1[[#This Row],[Unit_Price]] * (1 - (Table1[[#This Row],[Discount]] / 100))</f>
        <v>227044.50546400002</v>
      </c>
      <c r="F186" s="2">
        <f>Table1[[#This Row],[Quantity_Sold]] * ((Table1[[#This Row],[Unit_Price]] * (1 - (Table1[[#This Row],[Discount]] / 100))) - Table1[[#This Row],[Unit_Cost]])</f>
        <v>16737.975463999974</v>
      </c>
      <c r="G186" s="3">
        <v>49</v>
      </c>
      <c r="H186" t="s">
        <v>16</v>
      </c>
      <c r="I186">
        <v>4291.97</v>
      </c>
      <c r="J186" s="2">
        <v>4645.6400000000003</v>
      </c>
      <c r="K186" t="s">
        <v>17</v>
      </c>
      <c r="L186" s="4">
        <v>0.26</v>
      </c>
      <c r="M186" t="s">
        <v>31</v>
      </c>
      <c r="N186" t="s">
        <v>19</v>
      </c>
      <c r="O186" t="s">
        <v>40</v>
      </c>
    </row>
    <row r="187" spans="1:15" x14ac:dyDescent="0.25">
      <c r="A187" s="3">
        <v>1030</v>
      </c>
      <c r="B187" s="1">
        <v>45056</v>
      </c>
      <c r="C187" t="s">
        <v>14</v>
      </c>
      <c r="D187" t="s">
        <v>25</v>
      </c>
      <c r="E187" s="2">
        <f>Table1[[#This Row],[Quantity_Sold]] * Table1[[#This Row],[Unit_Price]] * (1 - (Table1[[#This Row],[Discount]] / 100))</f>
        <v>202201.78822400002</v>
      </c>
      <c r="F187" s="2">
        <f>Table1[[#This Row],[Quantity_Sold]] * ((Table1[[#This Row],[Unit_Price]] * (1 - (Table1[[#This Row],[Discount]] / 100))) - Table1[[#This Row],[Unit_Cost]])</f>
        <v>246.26822400001492</v>
      </c>
      <c r="G187" s="3">
        <v>43</v>
      </c>
      <c r="H187" t="s">
        <v>29</v>
      </c>
      <c r="I187">
        <v>4696.6400000000003</v>
      </c>
      <c r="J187" s="2">
        <v>4713.68</v>
      </c>
      <c r="K187" t="s">
        <v>17</v>
      </c>
      <c r="L187" s="4">
        <v>0.24</v>
      </c>
      <c r="M187" t="s">
        <v>27</v>
      </c>
      <c r="N187" t="s">
        <v>19</v>
      </c>
      <c r="O187" t="s">
        <v>32</v>
      </c>
    </row>
    <row r="188" spans="1:15" x14ac:dyDescent="0.25">
      <c r="A188" s="3">
        <v>1062</v>
      </c>
      <c r="B188" s="1">
        <v>45021</v>
      </c>
      <c r="C188" t="s">
        <v>14</v>
      </c>
      <c r="D188" t="s">
        <v>15</v>
      </c>
      <c r="E188" s="2">
        <f>Table1[[#This Row],[Quantity_Sold]] * Table1[[#This Row],[Unit_Price]] * (1 - (Table1[[#This Row],[Discount]] / 100))</f>
        <v>120678.61415999998</v>
      </c>
      <c r="F188" s="2">
        <f>Table1[[#This Row],[Quantity_Sold]] * ((Table1[[#This Row],[Unit_Price]] * (1 - (Table1[[#This Row],[Discount]] / 100))) - Table1[[#This Row],[Unit_Cost]])</f>
        <v>1293.4941599999802</v>
      </c>
      <c r="G188" s="3">
        <v>48</v>
      </c>
      <c r="H188" t="s">
        <v>26</v>
      </c>
      <c r="I188">
        <v>2487.19</v>
      </c>
      <c r="J188" s="2">
        <v>2521.4499999999998</v>
      </c>
      <c r="K188" t="s">
        <v>30</v>
      </c>
      <c r="L188" s="4">
        <v>0.28999999999999998</v>
      </c>
      <c r="M188" t="s">
        <v>18</v>
      </c>
      <c r="N188" t="s">
        <v>19</v>
      </c>
      <c r="O188" t="s">
        <v>20</v>
      </c>
    </row>
    <row r="189" spans="1:15" x14ac:dyDescent="0.25">
      <c r="A189" s="3">
        <v>1075</v>
      </c>
      <c r="B189" s="1">
        <v>45041</v>
      </c>
      <c r="C189" t="s">
        <v>24</v>
      </c>
      <c r="D189" t="s">
        <v>21</v>
      </c>
      <c r="E189" s="2">
        <f>Table1[[#This Row],[Quantity_Sold]] * Table1[[#This Row],[Unit_Price]] * (1 - (Table1[[#This Row],[Discount]] / 100))</f>
        <v>167756.949976</v>
      </c>
      <c r="F189" s="2">
        <f>Table1[[#This Row],[Quantity_Sold]] * ((Table1[[#This Row],[Unit_Price]] * (1 - (Table1[[#This Row],[Discount]] / 100))) - Table1[[#This Row],[Unit_Cost]])</f>
        <v>12908.189975999992</v>
      </c>
      <c r="G189" s="3">
        <v>44</v>
      </c>
      <c r="H189" t="s">
        <v>16</v>
      </c>
      <c r="I189">
        <v>3519.29</v>
      </c>
      <c r="J189" s="2">
        <v>3822.98</v>
      </c>
      <c r="K189" t="s">
        <v>17</v>
      </c>
      <c r="L189" s="4">
        <v>0.27</v>
      </c>
      <c r="M189" t="s">
        <v>27</v>
      </c>
      <c r="N189" t="s">
        <v>19</v>
      </c>
      <c r="O189" t="s">
        <v>47</v>
      </c>
    </row>
    <row r="190" spans="1:15" x14ac:dyDescent="0.25">
      <c r="A190" s="3">
        <v>1092</v>
      </c>
      <c r="B190" s="1">
        <v>45169</v>
      </c>
      <c r="C190" t="s">
        <v>38</v>
      </c>
      <c r="D190" t="s">
        <v>25</v>
      </c>
      <c r="E190" s="2">
        <f>Table1[[#This Row],[Quantity_Sold]] * Table1[[#This Row],[Unit_Price]] * (1 - (Table1[[#This Row],[Discount]] / 100))</f>
        <v>209145.54815999998</v>
      </c>
      <c r="F190" s="2">
        <f>Table1[[#This Row],[Quantity_Sold]] * ((Table1[[#This Row],[Unit_Price]] * (1 - (Table1[[#This Row],[Discount]] / 100))) - Table1[[#This Row],[Unit_Cost]])</f>
        <v>7751.4881600000181</v>
      </c>
      <c r="G190" s="3">
        <v>47</v>
      </c>
      <c r="H190" t="s">
        <v>26</v>
      </c>
      <c r="I190">
        <v>4284.9799999999996</v>
      </c>
      <c r="J190" s="2">
        <v>4462.3999999999996</v>
      </c>
      <c r="K190" t="s">
        <v>30</v>
      </c>
      <c r="L190" s="4">
        <v>0.28000000000000003</v>
      </c>
      <c r="M190" t="s">
        <v>31</v>
      </c>
      <c r="N190" t="s">
        <v>22</v>
      </c>
      <c r="O190" t="s">
        <v>39</v>
      </c>
    </row>
    <row r="191" spans="1:15" x14ac:dyDescent="0.25">
      <c r="A191" s="3">
        <v>1089</v>
      </c>
      <c r="B191" s="1">
        <v>45218</v>
      </c>
      <c r="C191" t="s">
        <v>38</v>
      </c>
      <c r="D191" t="s">
        <v>21</v>
      </c>
      <c r="E191" s="2">
        <f>Table1[[#This Row],[Quantity_Sold]] * Table1[[#This Row],[Unit_Price]] * (1 - (Table1[[#This Row],[Discount]] / 100))</f>
        <v>59591.069334</v>
      </c>
      <c r="F191" s="2">
        <f>Table1[[#This Row],[Quantity_Sold]] * ((Table1[[#This Row],[Unit_Price]] * (1 - (Table1[[#This Row],[Discount]] / 100))) - Table1[[#This Row],[Unit_Cost]])</f>
        <v>10818.649333999996</v>
      </c>
      <c r="G191" s="3">
        <v>23</v>
      </c>
      <c r="H191" t="s">
        <v>26</v>
      </c>
      <c r="I191">
        <v>2120.54</v>
      </c>
      <c r="J191" s="2">
        <v>2597.67</v>
      </c>
      <c r="K191" t="s">
        <v>17</v>
      </c>
      <c r="L191" s="4">
        <v>0.26</v>
      </c>
      <c r="M191" t="s">
        <v>31</v>
      </c>
      <c r="N191" t="s">
        <v>22</v>
      </c>
      <c r="O191" t="s">
        <v>41</v>
      </c>
    </row>
    <row r="192" spans="1:15" x14ac:dyDescent="0.25">
      <c r="A192" s="3">
        <v>1062</v>
      </c>
      <c r="B192" s="1">
        <v>45208</v>
      </c>
      <c r="C192" t="s">
        <v>14</v>
      </c>
      <c r="D192" t="s">
        <v>34</v>
      </c>
      <c r="E192" s="2">
        <f>Table1[[#This Row],[Quantity_Sold]] * Table1[[#This Row],[Unit_Price]] * (1 - (Table1[[#This Row],[Discount]] / 100))</f>
        <v>8119.5131399999609</v>
      </c>
      <c r="F192" s="2">
        <f>Table1[[#This Row],[Quantity_Sold]] * ((Table1[[#This Row],[Unit_Price]] * (1 - (Table1[[#This Row],[Discount]] / 100))) - Table1[[#This Row],[Unit_Cost]])</f>
        <v>1793.1531399999612</v>
      </c>
      <c r="G192" s="3">
        <v>4</v>
      </c>
      <c r="H192" t="s">
        <v>35</v>
      </c>
      <c r="I192">
        <v>1581.59</v>
      </c>
      <c r="J192" s="2">
        <v>2034.1499999999901</v>
      </c>
      <c r="K192" t="s">
        <v>17</v>
      </c>
      <c r="L192" s="4">
        <v>0.21</v>
      </c>
      <c r="M192" t="s">
        <v>18</v>
      </c>
      <c r="N192" t="s">
        <v>19</v>
      </c>
      <c r="O192" t="s">
        <v>46</v>
      </c>
    </row>
    <row r="193" spans="1:15" x14ac:dyDescent="0.25">
      <c r="A193" s="3">
        <v>1097</v>
      </c>
      <c r="B193" s="1">
        <v>45225</v>
      </c>
      <c r="C193" t="s">
        <v>42</v>
      </c>
      <c r="D193" t="s">
        <v>34</v>
      </c>
      <c r="E193" s="2">
        <f>Table1[[#This Row],[Quantity_Sold]] * Table1[[#This Row],[Unit_Price]] * (1 - (Table1[[#This Row],[Discount]] / 100))</f>
        <v>136187.64211500002</v>
      </c>
      <c r="F193" s="2">
        <f>Table1[[#This Row],[Quantity_Sold]] * ((Table1[[#This Row],[Unit_Price]] * (1 - (Table1[[#This Row],[Discount]] / 100))) - Table1[[#This Row],[Unit_Cost]])</f>
        <v>9644.3121150000043</v>
      </c>
      <c r="G193" s="3">
        <v>27</v>
      </c>
      <c r="H193" t="s">
        <v>35</v>
      </c>
      <c r="I193">
        <v>4686.79</v>
      </c>
      <c r="J193" s="2">
        <v>5046.51</v>
      </c>
      <c r="K193" t="s">
        <v>17</v>
      </c>
      <c r="L193" s="4">
        <v>0.05</v>
      </c>
      <c r="M193" t="s">
        <v>31</v>
      </c>
      <c r="N193" t="s">
        <v>22</v>
      </c>
      <c r="O193" t="s">
        <v>52</v>
      </c>
    </row>
    <row r="194" spans="1:15" x14ac:dyDescent="0.25">
      <c r="A194" s="3">
        <v>1001</v>
      </c>
      <c r="B194" s="1">
        <v>45209</v>
      </c>
      <c r="C194" t="s">
        <v>24</v>
      </c>
      <c r="D194" t="s">
        <v>21</v>
      </c>
      <c r="E194" s="2">
        <f>Table1[[#This Row],[Quantity_Sold]] * Table1[[#This Row],[Unit_Price]] * (1 - (Table1[[#This Row],[Discount]] / 100))</f>
        <v>54199.425743999993</v>
      </c>
      <c r="F194" s="2">
        <f>Table1[[#This Row],[Quantity_Sold]] * ((Table1[[#This Row],[Unit_Price]] * (1 - (Table1[[#This Row],[Discount]] / 100))) - Table1[[#This Row],[Unit_Cost]])</f>
        <v>7352.6257439999954</v>
      </c>
      <c r="G194" s="3">
        <v>18</v>
      </c>
      <c r="H194" t="s">
        <v>16</v>
      </c>
      <c r="I194">
        <v>2602.6</v>
      </c>
      <c r="J194" s="2">
        <v>3013.49</v>
      </c>
      <c r="K194" t="s">
        <v>17</v>
      </c>
      <c r="L194" s="4">
        <v>0.08</v>
      </c>
      <c r="M194" t="s">
        <v>27</v>
      </c>
      <c r="N194" t="s">
        <v>19</v>
      </c>
      <c r="O194" t="s">
        <v>47</v>
      </c>
    </row>
    <row r="195" spans="1:15" x14ac:dyDescent="0.25">
      <c r="A195" s="3">
        <v>1027</v>
      </c>
      <c r="B195" s="1">
        <v>44995</v>
      </c>
      <c r="C195" t="s">
        <v>38</v>
      </c>
      <c r="D195" t="s">
        <v>25</v>
      </c>
      <c r="E195" s="2">
        <f>Table1[[#This Row],[Quantity_Sold]] * Table1[[#This Row],[Unit_Price]] * (1 - (Table1[[#This Row],[Discount]] / 100))</f>
        <v>59780.510159999787</v>
      </c>
      <c r="F195" s="2">
        <f>Table1[[#This Row],[Quantity_Sold]] * ((Table1[[#This Row],[Unit_Price]] * (1 - (Table1[[#This Row],[Discount]] / 100))) - Table1[[#This Row],[Unit_Cost]])</f>
        <v>7040.900159999791</v>
      </c>
      <c r="G195" s="3">
        <v>21</v>
      </c>
      <c r="H195" t="s">
        <v>26</v>
      </c>
      <c r="I195">
        <v>2511.41</v>
      </c>
      <c r="J195" s="2">
        <v>2848.3999999999901</v>
      </c>
      <c r="K195" t="s">
        <v>17</v>
      </c>
      <c r="L195" s="4">
        <v>0.06</v>
      </c>
      <c r="M195" t="s">
        <v>27</v>
      </c>
      <c r="N195" t="s">
        <v>19</v>
      </c>
      <c r="O195" t="s">
        <v>39</v>
      </c>
    </row>
    <row r="196" spans="1:15" x14ac:dyDescent="0.25">
      <c r="A196" s="3">
        <v>1062</v>
      </c>
      <c r="B196" s="1">
        <v>45074</v>
      </c>
      <c r="C196" t="s">
        <v>14</v>
      </c>
      <c r="D196" t="s">
        <v>25</v>
      </c>
      <c r="E196" s="2">
        <f>Table1[[#This Row],[Quantity_Sold]] * Table1[[#This Row],[Unit_Price]] * (1 - (Table1[[#This Row],[Discount]] / 100))</f>
        <v>28080.96311999972</v>
      </c>
      <c r="F196" s="2">
        <f>Table1[[#This Row],[Quantity_Sold]] * ((Table1[[#This Row],[Unit_Price]] * (1 - (Table1[[#This Row],[Discount]] / 100))) - Table1[[#This Row],[Unit_Cost]])</f>
        <v>1952.4831199997229</v>
      </c>
      <c r="G196" s="3">
        <v>28</v>
      </c>
      <c r="H196" t="s">
        <v>35</v>
      </c>
      <c r="I196">
        <v>933.16</v>
      </c>
      <c r="J196" s="2">
        <v>1004.69999999999</v>
      </c>
      <c r="K196" t="s">
        <v>17</v>
      </c>
      <c r="L196" s="4">
        <v>0.18</v>
      </c>
      <c r="M196" t="s">
        <v>27</v>
      </c>
      <c r="N196" t="s">
        <v>19</v>
      </c>
      <c r="O196" t="s">
        <v>32</v>
      </c>
    </row>
    <row r="197" spans="1:15" x14ac:dyDescent="0.25">
      <c r="A197" s="3">
        <v>1077</v>
      </c>
      <c r="B197" s="1">
        <v>44937</v>
      </c>
      <c r="C197" t="s">
        <v>38</v>
      </c>
      <c r="D197" t="s">
        <v>15</v>
      </c>
      <c r="E197" s="2">
        <f>Table1[[#This Row],[Quantity_Sold]] * Table1[[#This Row],[Unit_Price]] * (1 - (Table1[[#This Row],[Discount]] / 100))</f>
        <v>33916.199275000006</v>
      </c>
      <c r="F197" s="2">
        <f>Table1[[#This Row],[Quantity_Sold]] * ((Table1[[#This Row],[Unit_Price]] * (1 - (Table1[[#This Row],[Discount]] / 100))) - Table1[[#This Row],[Unit_Cost]])</f>
        <v>13428.249275</v>
      </c>
      <c r="G197" s="3">
        <v>35</v>
      </c>
      <c r="H197" t="s">
        <v>35</v>
      </c>
      <c r="I197">
        <v>585.37</v>
      </c>
      <c r="J197" s="2">
        <v>970.49</v>
      </c>
      <c r="K197" t="s">
        <v>17</v>
      </c>
      <c r="L197" s="4">
        <v>0.15</v>
      </c>
      <c r="M197" t="s">
        <v>27</v>
      </c>
      <c r="N197" t="s">
        <v>22</v>
      </c>
      <c r="O197" t="s">
        <v>40</v>
      </c>
    </row>
    <row r="198" spans="1:15" x14ac:dyDescent="0.25">
      <c r="A198" s="3">
        <v>1003</v>
      </c>
      <c r="B198" s="1">
        <v>45180</v>
      </c>
      <c r="C198" t="s">
        <v>24</v>
      </c>
      <c r="D198" t="s">
        <v>34</v>
      </c>
      <c r="E198" s="2">
        <f>Table1[[#This Row],[Quantity_Sold]] * Table1[[#This Row],[Unit_Price]] * (1 - (Table1[[#This Row],[Discount]] / 100))</f>
        <v>95043.482776000004</v>
      </c>
      <c r="F198" s="2">
        <f>Table1[[#This Row],[Quantity_Sold]] * ((Table1[[#This Row],[Unit_Price]] * (1 - (Table1[[#This Row],[Discount]] / 100))) - Table1[[#This Row],[Unit_Cost]])</f>
        <v>2238.0227759999943</v>
      </c>
      <c r="G198" s="3">
        <v>22</v>
      </c>
      <c r="H198" t="s">
        <v>26</v>
      </c>
      <c r="I198">
        <v>4218.43</v>
      </c>
      <c r="J198" s="2">
        <v>4331.42</v>
      </c>
      <c r="K198" t="s">
        <v>30</v>
      </c>
      <c r="L198" s="4">
        <v>0.26</v>
      </c>
      <c r="M198" t="s">
        <v>27</v>
      </c>
      <c r="N198" t="s">
        <v>19</v>
      </c>
      <c r="O198" t="s">
        <v>50</v>
      </c>
    </row>
    <row r="199" spans="1:15" x14ac:dyDescent="0.25">
      <c r="A199" s="3">
        <v>1070</v>
      </c>
      <c r="B199" s="1">
        <v>45256</v>
      </c>
      <c r="C199" t="s">
        <v>24</v>
      </c>
      <c r="D199" t="s">
        <v>15</v>
      </c>
      <c r="E199" s="2">
        <f>Table1[[#This Row],[Quantity_Sold]] * Table1[[#This Row],[Unit_Price]] * (1 - (Table1[[#This Row],[Discount]] / 100))</f>
        <v>129960.01979999999</v>
      </c>
      <c r="F199" s="2">
        <f>Table1[[#This Row],[Quantity_Sold]] * ((Table1[[#This Row],[Unit_Price]] * (1 - (Table1[[#This Row],[Discount]] / 100))) - Table1[[#This Row],[Unit_Cost]])</f>
        <v>6361.6197999999895</v>
      </c>
      <c r="G199" s="3">
        <v>40</v>
      </c>
      <c r="H199" t="s">
        <v>16</v>
      </c>
      <c r="I199">
        <v>3089.96</v>
      </c>
      <c r="J199" s="2">
        <v>3258.45</v>
      </c>
      <c r="K199" t="s">
        <v>30</v>
      </c>
      <c r="L199" s="4">
        <v>0.28999999999999998</v>
      </c>
      <c r="M199" t="s">
        <v>18</v>
      </c>
      <c r="N199" t="s">
        <v>19</v>
      </c>
      <c r="O199" t="s">
        <v>45</v>
      </c>
    </row>
    <row r="200" spans="1:15" x14ac:dyDescent="0.25">
      <c r="A200" s="3">
        <v>1072</v>
      </c>
      <c r="B200" s="1">
        <v>45286</v>
      </c>
      <c r="C200" t="s">
        <v>33</v>
      </c>
      <c r="D200" t="s">
        <v>15</v>
      </c>
      <c r="E200" s="2">
        <f>Table1[[#This Row],[Quantity_Sold]] * Table1[[#This Row],[Unit_Price]] * (1 - (Table1[[#This Row],[Discount]] / 100))</f>
        <v>47650.500700000004</v>
      </c>
      <c r="F200" s="2">
        <f>Table1[[#This Row],[Quantity_Sold]] * ((Table1[[#This Row],[Unit_Price]] * (1 - (Table1[[#This Row],[Discount]] / 100))) - Table1[[#This Row],[Unit_Cost]])</f>
        <v>9405.4107000000076</v>
      </c>
      <c r="G200" s="3">
        <v>23</v>
      </c>
      <c r="H200" t="s">
        <v>16</v>
      </c>
      <c r="I200">
        <v>1662.83</v>
      </c>
      <c r="J200" s="2">
        <v>2074.25</v>
      </c>
      <c r="K200" t="s">
        <v>30</v>
      </c>
      <c r="L200" s="4">
        <v>0.12</v>
      </c>
      <c r="M200" t="s">
        <v>27</v>
      </c>
      <c r="N200" t="s">
        <v>19</v>
      </c>
      <c r="O200" t="s">
        <v>53</v>
      </c>
    </row>
    <row r="201" spans="1:15" x14ac:dyDescent="0.25">
      <c r="A201" s="3">
        <v>1027</v>
      </c>
      <c r="B201" s="1">
        <v>44964</v>
      </c>
      <c r="C201" t="s">
        <v>14</v>
      </c>
      <c r="D201" t="s">
        <v>21</v>
      </c>
      <c r="E201" s="2">
        <f>Table1[[#This Row],[Quantity_Sold]] * Table1[[#This Row],[Unit_Price]] * (1 - (Table1[[#This Row],[Discount]] / 100))</f>
        <v>3810.2460450000003</v>
      </c>
      <c r="F201" s="2">
        <f>Table1[[#This Row],[Quantity_Sold]] * ((Table1[[#This Row],[Unit_Price]] * (1 - (Table1[[#This Row],[Discount]] / 100))) - Table1[[#This Row],[Unit_Cost]])</f>
        <v>812.97604500000045</v>
      </c>
      <c r="G201" s="3">
        <v>3</v>
      </c>
      <c r="H201" t="s">
        <v>26</v>
      </c>
      <c r="I201">
        <v>999.09</v>
      </c>
      <c r="J201" s="2">
        <v>1271.99</v>
      </c>
      <c r="K201" t="s">
        <v>30</v>
      </c>
      <c r="L201" s="4">
        <v>0.15</v>
      </c>
      <c r="M201" t="s">
        <v>31</v>
      </c>
      <c r="N201" t="s">
        <v>19</v>
      </c>
      <c r="O201" t="s">
        <v>23</v>
      </c>
    </row>
    <row r="202" spans="1:15" x14ac:dyDescent="0.25">
      <c r="A202" s="3">
        <v>1009</v>
      </c>
      <c r="B202" s="1">
        <v>45060</v>
      </c>
      <c r="C202" t="s">
        <v>24</v>
      </c>
      <c r="D202" t="s">
        <v>21</v>
      </c>
      <c r="E202" s="2">
        <f>Table1[[#This Row],[Quantity_Sold]] * Table1[[#This Row],[Unit_Price]] * (1 - (Table1[[#This Row],[Discount]] / 100))</f>
        <v>128868.39472</v>
      </c>
      <c r="F202" s="2">
        <f>Table1[[#This Row],[Quantity_Sold]] * ((Table1[[#This Row],[Unit_Price]] * (1 - (Table1[[#This Row],[Discount]] / 100))) - Table1[[#This Row],[Unit_Cost]])</f>
        <v>16879.994719999995</v>
      </c>
      <c r="G202" s="3">
        <v>40</v>
      </c>
      <c r="H202" t="s">
        <v>16</v>
      </c>
      <c r="I202">
        <v>2799.71</v>
      </c>
      <c r="J202" s="2">
        <v>3231.08</v>
      </c>
      <c r="K202" t="s">
        <v>17</v>
      </c>
      <c r="L202" s="4">
        <v>0.28999999999999998</v>
      </c>
      <c r="M202" t="s">
        <v>31</v>
      </c>
      <c r="N202" t="s">
        <v>22</v>
      </c>
      <c r="O202" t="s">
        <v>47</v>
      </c>
    </row>
    <row r="203" spans="1:15" x14ac:dyDescent="0.25">
      <c r="A203" s="3">
        <v>1062</v>
      </c>
      <c r="B203" s="1">
        <v>45126</v>
      </c>
      <c r="C203" t="s">
        <v>33</v>
      </c>
      <c r="D203" t="s">
        <v>15</v>
      </c>
      <c r="E203" s="2">
        <f>Table1[[#This Row],[Quantity_Sold]] * Table1[[#This Row],[Unit_Price]] * (1 - (Table1[[#This Row],[Discount]] / 100))</f>
        <v>30523.46168</v>
      </c>
      <c r="F203" s="2">
        <f>Table1[[#This Row],[Quantity_Sold]] * ((Table1[[#This Row],[Unit_Price]] * (1 - (Table1[[#This Row],[Discount]] / 100))) - Table1[[#This Row],[Unit_Cost]])</f>
        <v>1119.4616799999994</v>
      </c>
      <c r="G203" s="3">
        <v>10</v>
      </c>
      <c r="H203" t="s">
        <v>35</v>
      </c>
      <c r="I203">
        <v>2940.4</v>
      </c>
      <c r="J203" s="2">
        <v>3054.79</v>
      </c>
      <c r="K203" t="s">
        <v>17</v>
      </c>
      <c r="L203" s="4">
        <v>0.08</v>
      </c>
      <c r="M203" t="s">
        <v>31</v>
      </c>
      <c r="N203" t="s">
        <v>19</v>
      </c>
      <c r="O203" t="s">
        <v>53</v>
      </c>
    </row>
    <row r="204" spans="1:15" x14ac:dyDescent="0.25">
      <c r="A204" s="3">
        <v>1037</v>
      </c>
      <c r="B204" s="1">
        <v>44949</v>
      </c>
      <c r="C204" t="s">
        <v>33</v>
      </c>
      <c r="D204" t="s">
        <v>34</v>
      </c>
      <c r="E204" s="2">
        <f>Table1[[#This Row],[Quantity_Sold]] * Table1[[#This Row],[Unit_Price]] * (1 - (Table1[[#This Row],[Discount]] / 100))</f>
        <v>34477.804199999751</v>
      </c>
      <c r="F204" s="2">
        <f>Table1[[#This Row],[Quantity_Sold]] * ((Table1[[#This Row],[Unit_Price]] * (1 - (Table1[[#This Row],[Discount]] / 100))) - Table1[[#This Row],[Unit_Cost]])</f>
        <v>7612.3041999997549</v>
      </c>
      <c r="G204" s="3">
        <v>25</v>
      </c>
      <c r="H204" t="s">
        <v>26</v>
      </c>
      <c r="I204">
        <v>1074.6199999999999</v>
      </c>
      <c r="J204" s="2">
        <v>1382.4299999999901</v>
      </c>
      <c r="K204" t="s">
        <v>17</v>
      </c>
      <c r="L204" s="4">
        <v>0.24</v>
      </c>
      <c r="M204" t="s">
        <v>31</v>
      </c>
      <c r="N204" t="s">
        <v>22</v>
      </c>
      <c r="O204" t="s">
        <v>36</v>
      </c>
    </row>
    <row r="205" spans="1:15" x14ac:dyDescent="0.25">
      <c r="A205" s="3">
        <v>1097</v>
      </c>
      <c r="B205" s="1">
        <v>45229</v>
      </c>
      <c r="C205" t="s">
        <v>38</v>
      </c>
      <c r="D205" t="s">
        <v>21</v>
      </c>
      <c r="E205" s="2">
        <f>Table1[[#This Row],[Quantity_Sold]] * Table1[[#This Row],[Unit_Price]] * (1 - (Table1[[#This Row],[Discount]] / 100))</f>
        <v>211312.45766400002</v>
      </c>
      <c r="F205" s="2">
        <f>Table1[[#This Row],[Quantity_Sold]] * ((Table1[[#This Row],[Unit_Price]] * (1 - (Table1[[#This Row],[Discount]] / 100))) - Table1[[#This Row],[Unit_Cost]])</f>
        <v>2353.917664000016</v>
      </c>
      <c r="G205" s="3">
        <v>49</v>
      </c>
      <c r="H205" t="s">
        <v>35</v>
      </c>
      <c r="I205">
        <v>4264.46</v>
      </c>
      <c r="J205" s="2">
        <v>4315.5200000000004</v>
      </c>
      <c r="K205" t="s">
        <v>30</v>
      </c>
      <c r="L205" s="4">
        <v>7.0000000000000007E-2</v>
      </c>
      <c r="M205" t="s">
        <v>18</v>
      </c>
      <c r="N205" t="s">
        <v>22</v>
      </c>
      <c r="O205" t="s">
        <v>41</v>
      </c>
    </row>
    <row r="206" spans="1:15" x14ac:dyDescent="0.25">
      <c r="A206" s="3">
        <v>1051</v>
      </c>
      <c r="B206" s="1">
        <v>45272</v>
      </c>
      <c r="C206" t="s">
        <v>38</v>
      </c>
      <c r="D206" t="s">
        <v>15</v>
      </c>
      <c r="E206" s="2">
        <f>Table1[[#This Row],[Quantity_Sold]] * Table1[[#This Row],[Unit_Price]] * (1 - (Table1[[#This Row],[Discount]] / 100))</f>
        <v>6325.0046400000001</v>
      </c>
      <c r="F206" s="2">
        <f>Table1[[#This Row],[Quantity_Sold]] * ((Table1[[#This Row],[Unit_Price]] * (1 - (Table1[[#This Row],[Discount]] / 100))) - Table1[[#This Row],[Unit_Cost]])</f>
        <v>2588.12464</v>
      </c>
      <c r="G206" s="3">
        <v>8</v>
      </c>
      <c r="H206" t="s">
        <v>29</v>
      </c>
      <c r="I206">
        <v>467.11</v>
      </c>
      <c r="J206" s="2">
        <v>792.21</v>
      </c>
      <c r="K206" t="s">
        <v>30</v>
      </c>
      <c r="L206" s="4">
        <v>0.2</v>
      </c>
      <c r="M206" t="s">
        <v>31</v>
      </c>
      <c r="N206" t="s">
        <v>19</v>
      </c>
      <c r="O206" t="s">
        <v>40</v>
      </c>
    </row>
    <row r="207" spans="1:15" x14ac:dyDescent="0.25">
      <c r="A207" s="3">
        <v>1044</v>
      </c>
      <c r="B207" s="1">
        <v>45228</v>
      </c>
      <c r="C207" t="s">
        <v>33</v>
      </c>
      <c r="D207" t="s">
        <v>15</v>
      </c>
      <c r="E207" s="2">
        <f>Table1[[#This Row],[Quantity_Sold]] * Table1[[#This Row],[Unit_Price]] * (1 - (Table1[[#This Row],[Discount]] / 100))</f>
        <v>24139.972560000002</v>
      </c>
      <c r="F207" s="2">
        <f>Table1[[#This Row],[Quantity_Sold]] * ((Table1[[#This Row],[Unit_Price]] * (1 - (Table1[[#This Row],[Discount]] / 100))) - Table1[[#This Row],[Unit_Cost]])</f>
        <v>4200.7125600000018</v>
      </c>
      <c r="G207" s="3">
        <v>11</v>
      </c>
      <c r="H207" t="s">
        <v>29</v>
      </c>
      <c r="I207">
        <v>1812.66</v>
      </c>
      <c r="J207" s="2">
        <v>2196.3000000000002</v>
      </c>
      <c r="K207" t="s">
        <v>30</v>
      </c>
      <c r="L207" s="4">
        <v>0.08</v>
      </c>
      <c r="M207" t="s">
        <v>18</v>
      </c>
      <c r="N207" t="s">
        <v>19</v>
      </c>
      <c r="O207" t="s">
        <v>53</v>
      </c>
    </row>
    <row r="208" spans="1:15" x14ac:dyDescent="0.25">
      <c r="A208" s="3">
        <v>1024</v>
      </c>
      <c r="B208" s="1">
        <v>45289</v>
      </c>
      <c r="C208" t="s">
        <v>38</v>
      </c>
      <c r="D208" t="s">
        <v>15</v>
      </c>
      <c r="E208" s="2">
        <f>Table1[[#This Row],[Quantity_Sold]] * Table1[[#This Row],[Unit_Price]] * (1 - (Table1[[#This Row],[Discount]] / 100))</f>
        <v>18522.453979999998</v>
      </c>
      <c r="F208" s="2">
        <f>Table1[[#This Row],[Quantity_Sold]] * ((Table1[[#This Row],[Unit_Price]] * (1 - (Table1[[#This Row],[Discount]] / 100))) - Table1[[#This Row],[Unit_Cost]])</f>
        <v>1432.9539799999998</v>
      </c>
      <c r="G208" s="3">
        <v>5</v>
      </c>
      <c r="H208" t="s">
        <v>16</v>
      </c>
      <c r="I208">
        <v>3417.9</v>
      </c>
      <c r="J208" s="2">
        <v>3714.52</v>
      </c>
      <c r="K208" t="s">
        <v>17</v>
      </c>
      <c r="L208" s="4">
        <v>0.27</v>
      </c>
      <c r="M208" t="s">
        <v>31</v>
      </c>
      <c r="N208" t="s">
        <v>22</v>
      </c>
      <c r="O208" t="s">
        <v>40</v>
      </c>
    </row>
    <row r="209" spans="1:15" x14ac:dyDescent="0.25">
      <c r="A209" s="3">
        <v>1079</v>
      </c>
      <c r="B209" s="1">
        <v>45144</v>
      </c>
      <c r="C209" t="s">
        <v>24</v>
      </c>
      <c r="D209" t="s">
        <v>15</v>
      </c>
      <c r="E209" s="2">
        <f>Table1[[#This Row],[Quantity_Sold]] * Table1[[#This Row],[Unit_Price]] * (1 - (Table1[[#This Row],[Discount]] / 100))</f>
        <v>69512.377724999998</v>
      </c>
      <c r="F209" s="2">
        <f>Table1[[#This Row],[Quantity_Sold]] * ((Table1[[#This Row],[Unit_Price]] * (1 - (Table1[[#This Row],[Discount]] / 100))) - Table1[[#This Row],[Unit_Cost]])</f>
        <v>6201.8777249999866</v>
      </c>
      <c r="G209" s="3">
        <v>45</v>
      </c>
      <c r="H209" t="s">
        <v>29</v>
      </c>
      <c r="I209">
        <v>1406.9</v>
      </c>
      <c r="J209" s="2">
        <v>1547.35</v>
      </c>
      <c r="K209" t="s">
        <v>30</v>
      </c>
      <c r="L209" s="4">
        <v>0.17</v>
      </c>
      <c r="M209" t="s">
        <v>18</v>
      </c>
      <c r="N209" t="s">
        <v>22</v>
      </c>
      <c r="O209" t="s">
        <v>45</v>
      </c>
    </row>
    <row r="210" spans="1:15" x14ac:dyDescent="0.25">
      <c r="A210" s="3">
        <v>1059</v>
      </c>
      <c r="B210" s="1">
        <v>45067</v>
      </c>
      <c r="C210" t="s">
        <v>42</v>
      </c>
      <c r="D210" t="s">
        <v>15</v>
      </c>
      <c r="E210" s="2">
        <f>Table1[[#This Row],[Quantity_Sold]] * Table1[[#This Row],[Unit_Price]] * (1 - (Table1[[#This Row],[Discount]] / 100))</f>
        <v>154284.32382999963</v>
      </c>
      <c r="F210" s="2">
        <f>Table1[[#This Row],[Quantity_Sold]] * ((Table1[[#This Row],[Unit_Price]] * (1 - (Table1[[#This Row],[Discount]] / 100))) - Table1[[#This Row],[Unit_Cost]])</f>
        <v>845.69382999964182</v>
      </c>
      <c r="G210" s="3">
        <v>37</v>
      </c>
      <c r="H210" t="s">
        <v>35</v>
      </c>
      <c r="I210">
        <v>4146.99</v>
      </c>
      <c r="J210" s="2">
        <v>4172.3499999999904</v>
      </c>
      <c r="K210" t="s">
        <v>17</v>
      </c>
      <c r="L210" s="4">
        <v>0.06</v>
      </c>
      <c r="M210" t="s">
        <v>18</v>
      </c>
      <c r="N210" t="s">
        <v>22</v>
      </c>
      <c r="O210" t="s">
        <v>49</v>
      </c>
    </row>
    <row r="211" spans="1:15" x14ac:dyDescent="0.25">
      <c r="A211" s="3">
        <v>1032</v>
      </c>
      <c r="B211" s="1">
        <v>45030</v>
      </c>
      <c r="C211" t="s">
        <v>24</v>
      </c>
      <c r="D211" t="s">
        <v>15</v>
      </c>
      <c r="E211" s="2">
        <f>Table1[[#This Row],[Quantity_Sold]] * Table1[[#This Row],[Unit_Price]] * (1 - (Table1[[#This Row],[Discount]] / 100))</f>
        <v>170020.50227999999</v>
      </c>
      <c r="F211" s="2">
        <f>Table1[[#This Row],[Quantity_Sold]] * ((Table1[[#This Row],[Unit_Price]] * (1 - (Table1[[#This Row],[Discount]] / 100))) - Table1[[#This Row],[Unit_Cost]])</f>
        <v>2964.7522800000093</v>
      </c>
      <c r="G211" s="3">
        <v>45</v>
      </c>
      <c r="H211" t="s">
        <v>29</v>
      </c>
      <c r="I211">
        <v>3712.35</v>
      </c>
      <c r="J211" s="2">
        <v>3780.88</v>
      </c>
      <c r="K211" t="s">
        <v>30</v>
      </c>
      <c r="L211" s="4">
        <v>7.0000000000000007E-2</v>
      </c>
      <c r="M211" t="s">
        <v>18</v>
      </c>
      <c r="N211" t="s">
        <v>22</v>
      </c>
      <c r="O211" t="s">
        <v>45</v>
      </c>
    </row>
    <row r="212" spans="1:15" x14ac:dyDescent="0.25">
      <c r="A212" s="3">
        <v>1096</v>
      </c>
      <c r="B212" s="1">
        <v>45136</v>
      </c>
      <c r="C212" t="s">
        <v>33</v>
      </c>
      <c r="D212" t="s">
        <v>21</v>
      </c>
      <c r="E212" s="2">
        <f>Table1[[#This Row],[Quantity_Sold]] * Table1[[#This Row],[Unit_Price]] * (1 - (Table1[[#This Row],[Discount]] / 100))</f>
        <v>162038.99637000001</v>
      </c>
      <c r="F212" s="2">
        <f>Table1[[#This Row],[Quantity_Sold]] * ((Table1[[#This Row],[Unit_Price]] * (1 - (Table1[[#This Row],[Discount]] / 100))) - Table1[[#This Row],[Unit_Cost]])</f>
        <v>11723.916370000006</v>
      </c>
      <c r="G212" s="3">
        <v>38</v>
      </c>
      <c r="H212" t="s">
        <v>35</v>
      </c>
      <c r="I212">
        <v>3955.66</v>
      </c>
      <c r="J212" s="2">
        <v>4270.59</v>
      </c>
      <c r="K212" t="s">
        <v>17</v>
      </c>
      <c r="L212" s="4">
        <v>0.15</v>
      </c>
      <c r="M212" t="s">
        <v>31</v>
      </c>
      <c r="N212" t="s">
        <v>19</v>
      </c>
      <c r="O212" t="s">
        <v>37</v>
      </c>
    </row>
    <row r="213" spans="1:15" x14ac:dyDescent="0.25">
      <c r="A213" s="3">
        <v>1088</v>
      </c>
      <c r="B213" s="1">
        <v>45037</v>
      </c>
      <c r="C213" t="s">
        <v>33</v>
      </c>
      <c r="D213" t="s">
        <v>34</v>
      </c>
      <c r="E213" s="2">
        <f>Table1[[#This Row],[Quantity_Sold]] * Table1[[#This Row],[Unit_Price]] * (1 - (Table1[[#This Row],[Discount]] / 100))</f>
        <v>32022.913455000002</v>
      </c>
      <c r="F213" s="2">
        <f>Table1[[#This Row],[Quantity_Sold]] * ((Table1[[#This Row],[Unit_Price]] * (1 - (Table1[[#This Row],[Discount]] / 100))) - Table1[[#This Row],[Unit_Cost]])</f>
        <v>13475.093455000002</v>
      </c>
      <c r="G213" s="3">
        <v>29</v>
      </c>
      <c r="H213" t="s">
        <v>16</v>
      </c>
      <c r="I213">
        <v>639.58000000000004</v>
      </c>
      <c r="J213" s="2">
        <v>1107.45</v>
      </c>
      <c r="K213" t="s">
        <v>30</v>
      </c>
      <c r="L213" s="4">
        <v>0.28999999999999998</v>
      </c>
      <c r="M213" t="s">
        <v>18</v>
      </c>
      <c r="N213" t="s">
        <v>22</v>
      </c>
      <c r="O213" t="s">
        <v>36</v>
      </c>
    </row>
    <row r="214" spans="1:15" x14ac:dyDescent="0.25">
      <c r="A214" s="3">
        <v>1052</v>
      </c>
      <c r="B214" s="1">
        <v>45030</v>
      </c>
      <c r="C214" t="s">
        <v>24</v>
      </c>
      <c r="D214" t="s">
        <v>15</v>
      </c>
      <c r="E214" s="2">
        <f>Table1[[#This Row],[Quantity_Sold]] * Table1[[#This Row],[Unit_Price]] * (1 - (Table1[[#This Row],[Discount]] / 100))</f>
        <v>4274.6955350000007</v>
      </c>
      <c r="F214" s="2">
        <f>Table1[[#This Row],[Quantity_Sold]] * ((Table1[[#This Row],[Unit_Price]] * (1 - (Table1[[#This Row],[Discount]] / 100))) - Table1[[#This Row],[Unit_Cost]])</f>
        <v>546.145535</v>
      </c>
      <c r="G214" s="3">
        <v>5</v>
      </c>
      <c r="H214" t="s">
        <v>16</v>
      </c>
      <c r="I214">
        <v>745.71</v>
      </c>
      <c r="J214" s="2">
        <v>856.91</v>
      </c>
      <c r="K214" t="s">
        <v>17</v>
      </c>
      <c r="L214" s="4">
        <v>0.23</v>
      </c>
      <c r="M214" t="s">
        <v>27</v>
      </c>
      <c r="N214" t="s">
        <v>22</v>
      </c>
      <c r="O214" t="s">
        <v>45</v>
      </c>
    </row>
    <row r="215" spans="1:15" x14ac:dyDescent="0.25">
      <c r="A215" s="3">
        <v>1062</v>
      </c>
      <c r="B215" s="1">
        <v>45242</v>
      </c>
      <c r="C215" t="s">
        <v>38</v>
      </c>
      <c r="D215" t="s">
        <v>25</v>
      </c>
      <c r="E215" s="2">
        <f>Table1[[#This Row],[Quantity_Sold]] * Table1[[#This Row],[Unit_Price]] * (1 - (Table1[[#This Row],[Discount]] / 100))</f>
        <v>16519.074165000002</v>
      </c>
      <c r="F215" s="2">
        <f>Table1[[#This Row],[Quantity_Sold]] * ((Table1[[#This Row],[Unit_Price]] * (1 - (Table1[[#This Row],[Discount]] / 100))) - Table1[[#This Row],[Unit_Cost]])</f>
        <v>3306.624165000002</v>
      </c>
      <c r="G215" s="3">
        <v>9</v>
      </c>
      <c r="H215" t="s">
        <v>35</v>
      </c>
      <c r="I215">
        <v>1468.05</v>
      </c>
      <c r="J215" s="2">
        <v>1838.21</v>
      </c>
      <c r="K215" t="s">
        <v>30</v>
      </c>
      <c r="L215" s="4">
        <v>0.15</v>
      </c>
      <c r="M215" t="s">
        <v>27</v>
      </c>
      <c r="N215" t="s">
        <v>22</v>
      </c>
      <c r="O215" t="s">
        <v>39</v>
      </c>
    </row>
    <row r="216" spans="1:15" x14ac:dyDescent="0.25">
      <c r="A216" s="3">
        <v>1058</v>
      </c>
      <c r="B216" s="1">
        <v>45097</v>
      </c>
      <c r="C216" t="s">
        <v>38</v>
      </c>
      <c r="D216" t="s">
        <v>21</v>
      </c>
      <c r="E216" s="2">
        <f>Table1[[#This Row],[Quantity_Sold]] * Table1[[#This Row],[Unit_Price]] * (1 - (Table1[[#This Row],[Discount]] / 100))</f>
        <v>146207.56607999999</v>
      </c>
      <c r="F216" s="2">
        <f>Table1[[#This Row],[Quantity_Sold]] * ((Table1[[#This Row],[Unit_Price]] * (1 - (Table1[[#This Row],[Discount]] / 100))) - Table1[[#This Row],[Unit_Cost]])</f>
        <v>20712.526080000003</v>
      </c>
      <c r="G216" s="3">
        <v>48</v>
      </c>
      <c r="H216" t="s">
        <v>29</v>
      </c>
      <c r="I216">
        <v>2614.48</v>
      </c>
      <c r="J216" s="2">
        <v>3049.04</v>
      </c>
      <c r="K216" t="s">
        <v>30</v>
      </c>
      <c r="L216" s="4">
        <v>0.1</v>
      </c>
      <c r="M216" t="s">
        <v>31</v>
      </c>
      <c r="N216" t="s">
        <v>22</v>
      </c>
      <c r="O216" t="s">
        <v>41</v>
      </c>
    </row>
    <row r="217" spans="1:15" x14ac:dyDescent="0.25">
      <c r="A217" s="3">
        <v>1052</v>
      </c>
      <c r="B217" s="1">
        <v>45282</v>
      </c>
      <c r="C217" t="s">
        <v>33</v>
      </c>
      <c r="D217" t="s">
        <v>21</v>
      </c>
      <c r="E217" s="2">
        <f>Table1[[#This Row],[Quantity_Sold]] * Table1[[#This Row],[Unit_Price]] * (1 - (Table1[[#This Row],[Discount]] / 100))</f>
        <v>8022.9626879999996</v>
      </c>
      <c r="F217" s="2">
        <f>Table1[[#This Row],[Quantity_Sold]] * ((Table1[[#This Row],[Unit_Price]] * (1 - (Table1[[#This Row],[Discount]] / 100))) - Table1[[#This Row],[Unit_Cost]])</f>
        <v>517.60268799999994</v>
      </c>
      <c r="G217" s="3">
        <v>2</v>
      </c>
      <c r="H217" t="s">
        <v>16</v>
      </c>
      <c r="I217">
        <v>3752.68</v>
      </c>
      <c r="J217" s="2">
        <v>4017.91</v>
      </c>
      <c r="K217" t="s">
        <v>17</v>
      </c>
      <c r="L217" s="4">
        <v>0.16</v>
      </c>
      <c r="M217" t="s">
        <v>27</v>
      </c>
      <c r="N217" t="s">
        <v>19</v>
      </c>
      <c r="O217" t="s">
        <v>37</v>
      </c>
    </row>
    <row r="218" spans="1:15" x14ac:dyDescent="0.25">
      <c r="A218" s="3">
        <v>1012</v>
      </c>
      <c r="B218" s="1">
        <v>45250</v>
      </c>
      <c r="C218" t="s">
        <v>14</v>
      </c>
      <c r="D218" t="s">
        <v>15</v>
      </c>
      <c r="E218" s="2">
        <f>Table1[[#This Row],[Quantity_Sold]] * Table1[[#This Row],[Unit_Price]] * (1 - (Table1[[#This Row],[Discount]] / 100))</f>
        <v>4518.8067059999903</v>
      </c>
      <c r="F218" s="2">
        <f>Table1[[#This Row],[Quantity_Sold]] * ((Table1[[#This Row],[Unit_Price]] * (1 - (Table1[[#This Row],[Discount]] / 100))) - Table1[[#This Row],[Unit_Cost]])</f>
        <v>327.97670599999037</v>
      </c>
      <c r="G218" s="3">
        <v>1</v>
      </c>
      <c r="H218" t="s">
        <v>26</v>
      </c>
      <c r="I218">
        <v>4190.83</v>
      </c>
      <c r="J218" s="2">
        <v>4528.7699999999904</v>
      </c>
      <c r="K218" t="s">
        <v>17</v>
      </c>
      <c r="L218" s="4">
        <v>0.22</v>
      </c>
      <c r="M218" t="s">
        <v>27</v>
      </c>
      <c r="N218" t="s">
        <v>19</v>
      </c>
      <c r="O218" t="s">
        <v>20</v>
      </c>
    </row>
    <row r="219" spans="1:15" x14ac:dyDescent="0.25">
      <c r="A219" s="3">
        <v>1039</v>
      </c>
      <c r="B219" s="1">
        <v>45059</v>
      </c>
      <c r="C219" t="s">
        <v>38</v>
      </c>
      <c r="D219" t="s">
        <v>21</v>
      </c>
      <c r="E219" s="2">
        <f>Table1[[#This Row],[Quantity_Sold]] * Table1[[#This Row],[Unit_Price]] * (1 - (Table1[[#This Row],[Discount]] / 100))</f>
        <v>157454.00128000003</v>
      </c>
      <c r="F219" s="2">
        <f>Table1[[#This Row],[Quantity_Sold]] * ((Table1[[#This Row],[Unit_Price]] * (1 - (Table1[[#This Row],[Discount]] / 100))) - Table1[[#This Row],[Unit_Cost]])</f>
        <v>15995.60128000001</v>
      </c>
      <c r="G219" s="3">
        <v>40</v>
      </c>
      <c r="H219" t="s">
        <v>16</v>
      </c>
      <c r="I219">
        <v>3536.46</v>
      </c>
      <c r="J219" s="2">
        <v>3945.82</v>
      </c>
      <c r="K219" t="s">
        <v>30</v>
      </c>
      <c r="L219" s="4">
        <v>0.24</v>
      </c>
      <c r="M219" t="s">
        <v>27</v>
      </c>
      <c r="N219" t="s">
        <v>19</v>
      </c>
      <c r="O219" t="s">
        <v>41</v>
      </c>
    </row>
    <row r="220" spans="1:15" x14ac:dyDescent="0.25">
      <c r="A220" s="3">
        <v>1002</v>
      </c>
      <c r="B220" s="1">
        <v>45219</v>
      </c>
      <c r="C220" t="s">
        <v>24</v>
      </c>
      <c r="D220" t="s">
        <v>15</v>
      </c>
      <c r="E220" s="2">
        <f>Table1[[#This Row],[Quantity_Sold]] * Table1[[#This Row],[Unit_Price]] * (1 - (Table1[[#This Row],[Discount]] / 100))</f>
        <v>143384.87159999998</v>
      </c>
      <c r="F220" s="2">
        <f>Table1[[#This Row],[Quantity_Sold]] * ((Table1[[#This Row],[Unit_Price]] * (1 - (Table1[[#This Row],[Discount]] / 100))) - Table1[[#This Row],[Unit_Cost]])</f>
        <v>3988.3715999999913</v>
      </c>
      <c r="G220" s="3">
        <v>30</v>
      </c>
      <c r="H220" t="s">
        <v>29</v>
      </c>
      <c r="I220">
        <v>4646.55</v>
      </c>
      <c r="J220" s="2">
        <v>4784.28</v>
      </c>
      <c r="K220" t="s">
        <v>17</v>
      </c>
      <c r="L220" s="4">
        <v>0.1</v>
      </c>
      <c r="M220" t="s">
        <v>31</v>
      </c>
      <c r="N220" t="s">
        <v>22</v>
      </c>
      <c r="O220" t="s">
        <v>45</v>
      </c>
    </row>
    <row r="221" spans="1:15" x14ac:dyDescent="0.25">
      <c r="A221" s="3">
        <v>1003</v>
      </c>
      <c r="B221" s="1">
        <v>45254</v>
      </c>
      <c r="C221" t="s">
        <v>38</v>
      </c>
      <c r="D221" t="s">
        <v>34</v>
      </c>
      <c r="E221" s="2">
        <f>Table1[[#This Row],[Quantity_Sold]] * Table1[[#This Row],[Unit_Price]] * (1 - (Table1[[#This Row],[Discount]] / 100))</f>
        <v>42391.393307999999</v>
      </c>
      <c r="F221" s="2">
        <f>Table1[[#This Row],[Quantity_Sold]] * ((Table1[[#This Row],[Unit_Price]] * (1 - (Table1[[#This Row],[Discount]] / 100))) - Table1[[#This Row],[Unit_Cost]])</f>
        <v>1616.8133080000011</v>
      </c>
      <c r="G221" s="3">
        <v>11</v>
      </c>
      <c r="H221" t="s">
        <v>26</v>
      </c>
      <c r="I221">
        <v>3706.78</v>
      </c>
      <c r="J221" s="2">
        <v>3862.26</v>
      </c>
      <c r="K221" t="s">
        <v>30</v>
      </c>
      <c r="L221" s="4">
        <v>0.22</v>
      </c>
      <c r="M221" t="s">
        <v>31</v>
      </c>
      <c r="N221" t="s">
        <v>22</v>
      </c>
      <c r="O221" t="s">
        <v>48</v>
      </c>
    </row>
    <row r="222" spans="1:15" x14ac:dyDescent="0.25">
      <c r="A222" s="3">
        <v>1056</v>
      </c>
      <c r="B222" s="1">
        <v>45053</v>
      </c>
      <c r="C222" t="s">
        <v>24</v>
      </c>
      <c r="D222" t="s">
        <v>34</v>
      </c>
      <c r="E222" s="2">
        <f>Table1[[#This Row],[Quantity_Sold]] * Table1[[#This Row],[Unit_Price]] * (1 - (Table1[[#This Row],[Discount]] / 100))</f>
        <v>44049.244959999996</v>
      </c>
      <c r="F222" s="2">
        <f>Table1[[#This Row],[Quantity_Sold]] * ((Table1[[#This Row],[Unit_Price]] * (1 - (Table1[[#This Row],[Discount]] / 100))) - Table1[[#This Row],[Unit_Cost]])</f>
        <v>200.40496000000076</v>
      </c>
      <c r="G222" s="3">
        <v>28</v>
      </c>
      <c r="H222" t="s">
        <v>29</v>
      </c>
      <c r="I222">
        <v>1566.03</v>
      </c>
      <c r="J222" s="2">
        <v>1576.34</v>
      </c>
      <c r="K222" t="s">
        <v>17</v>
      </c>
      <c r="L222" s="4">
        <v>0.2</v>
      </c>
      <c r="M222" t="s">
        <v>27</v>
      </c>
      <c r="N222" t="s">
        <v>19</v>
      </c>
      <c r="O222" t="s">
        <v>50</v>
      </c>
    </row>
    <row r="223" spans="1:15" x14ac:dyDescent="0.25">
      <c r="A223" s="3">
        <v>1081</v>
      </c>
      <c r="B223" s="1">
        <v>45032</v>
      </c>
      <c r="C223" t="s">
        <v>33</v>
      </c>
      <c r="D223" t="s">
        <v>21</v>
      </c>
      <c r="E223" s="2">
        <f>Table1[[#This Row],[Quantity_Sold]] * Table1[[#This Row],[Unit_Price]] * (1 - (Table1[[#This Row],[Discount]] / 100))</f>
        <v>80903.776668000006</v>
      </c>
      <c r="F223" s="2">
        <f>Table1[[#This Row],[Quantity_Sold]] * ((Table1[[#This Row],[Unit_Price]] * (1 - (Table1[[#This Row],[Discount]] / 100))) - Table1[[#This Row],[Unit_Cost]])</f>
        <v>20969.176667999989</v>
      </c>
      <c r="G223" s="3">
        <v>44</v>
      </c>
      <c r="H223" t="s">
        <v>35</v>
      </c>
      <c r="I223">
        <v>1362.15</v>
      </c>
      <c r="J223" s="2">
        <v>1844.07</v>
      </c>
      <c r="K223" t="s">
        <v>30</v>
      </c>
      <c r="L223" s="4">
        <v>0.28999999999999998</v>
      </c>
      <c r="M223" t="s">
        <v>31</v>
      </c>
      <c r="N223" t="s">
        <v>19</v>
      </c>
      <c r="O223" t="s">
        <v>37</v>
      </c>
    </row>
    <row r="224" spans="1:15" x14ac:dyDescent="0.25">
      <c r="A224" s="3">
        <v>1059</v>
      </c>
      <c r="B224" s="1">
        <v>45018</v>
      </c>
      <c r="C224" t="s">
        <v>38</v>
      </c>
      <c r="D224" t="s">
        <v>21</v>
      </c>
      <c r="E224" s="2">
        <f>Table1[[#This Row],[Quantity_Sold]] * Table1[[#This Row],[Unit_Price]] * (1 - (Table1[[#This Row],[Discount]] / 100))</f>
        <v>47336.086799999997</v>
      </c>
      <c r="F224" s="2">
        <f>Table1[[#This Row],[Quantity_Sold]] * ((Table1[[#This Row],[Unit_Price]] * (1 - (Table1[[#This Row],[Discount]] / 100))) - Table1[[#This Row],[Unit_Cost]])</f>
        <v>5382.2867999999962</v>
      </c>
      <c r="G224" s="3">
        <v>12</v>
      </c>
      <c r="H224" t="s">
        <v>26</v>
      </c>
      <c r="I224">
        <v>3496.15</v>
      </c>
      <c r="J224" s="2">
        <v>3955.75</v>
      </c>
      <c r="K224" t="s">
        <v>17</v>
      </c>
      <c r="L224" s="4">
        <v>0.28000000000000003</v>
      </c>
      <c r="M224" t="s">
        <v>18</v>
      </c>
      <c r="N224" t="s">
        <v>22</v>
      </c>
      <c r="O224" t="s">
        <v>41</v>
      </c>
    </row>
    <row r="225" spans="1:15" x14ac:dyDescent="0.25">
      <c r="A225" s="3">
        <v>1002</v>
      </c>
      <c r="B225" s="1">
        <v>45213</v>
      </c>
      <c r="C225" t="s">
        <v>24</v>
      </c>
      <c r="D225" t="s">
        <v>25</v>
      </c>
      <c r="E225" s="2">
        <f>Table1[[#This Row],[Quantity_Sold]] * Table1[[#This Row],[Unit_Price]] * (1 - (Table1[[#This Row],[Discount]] / 100))</f>
        <v>54054.606839999993</v>
      </c>
      <c r="F225" s="2">
        <f>Table1[[#This Row],[Quantity_Sold]] * ((Table1[[#This Row],[Unit_Price]] * (1 - (Table1[[#This Row],[Discount]] / 100))) - Table1[[#This Row],[Unit_Cost]])</f>
        <v>14870.91684</v>
      </c>
      <c r="G225" s="3">
        <v>39</v>
      </c>
      <c r="H225" t="s">
        <v>29</v>
      </c>
      <c r="I225">
        <v>1004.71</v>
      </c>
      <c r="J225" s="2">
        <v>1389.35</v>
      </c>
      <c r="K225" t="s">
        <v>30</v>
      </c>
      <c r="L225" s="4">
        <v>0.24</v>
      </c>
      <c r="M225" t="s">
        <v>27</v>
      </c>
      <c r="N225" t="s">
        <v>19</v>
      </c>
      <c r="O225" t="s">
        <v>28</v>
      </c>
    </row>
    <row r="226" spans="1:15" x14ac:dyDescent="0.25">
      <c r="A226" s="3">
        <v>1002</v>
      </c>
      <c r="B226" s="1">
        <v>44977</v>
      </c>
      <c r="C226" t="s">
        <v>33</v>
      </c>
      <c r="D226" t="s">
        <v>21</v>
      </c>
      <c r="E226" s="2">
        <f>Table1[[#This Row],[Quantity_Sold]] * Table1[[#This Row],[Unit_Price]] * (1 - (Table1[[#This Row],[Discount]] / 100))</f>
        <v>14468.040132000002</v>
      </c>
      <c r="F226" s="2">
        <f>Table1[[#This Row],[Quantity_Sold]] * ((Table1[[#This Row],[Unit_Price]] * (1 - (Table1[[#This Row],[Discount]] / 100))) - Table1[[#This Row],[Unit_Cost]])</f>
        <v>1235.6001320000028</v>
      </c>
      <c r="G226" s="3">
        <v>26</v>
      </c>
      <c r="H226" t="s">
        <v>26</v>
      </c>
      <c r="I226">
        <v>508.94</v>
      </c>
      <c r="J226" s="2">
        <v>557.69000000000005</v>
      </c>
      <c r="K226" t="s">
        <v>30</v>
      </c>
      <c r="L226" s="4">
        <v>0.22</v>
      </c>
      <c r="M226" t="s">
        <v>31</v>
      </c>
      <c r="N226" t="s">
        <v>22</v>
      </c>
      <c r="O226" t="s">
        <v>37</v>
      </c>
    </row>
    <row r="227" spans="1:15" x14ac:dyDescent="0.25">
      <c r="A227" s="3">
        <v>1092</v>
      </c>
      <c r="B227" s="1">
        <v>44955</v>
      </c>
      <c r="C227" t="s">
        <v>14</v>
      </c>
      <c r="D227" t="s">
        <v>25</v>
      </c>
      <c r="E227" s="2">
        <f>Table1[[#This Row],[Quantity_Sold]] * Table1[[#This Row],[Unit_Price]] * (1 - (Table1[[#This Row],[Discount]] / 100))</f>
        <v>37848.836687999996</v>
      </c>
      <c r="F227" s="2">
        <f>Table1[[#This Row],[Quantity_Sold]] * ((Table1[[#This Row],[Unit_Price]] * (1 - (Table1[[#This Row],[Discount]] / 100))) - Table1[[#This Row],[Unit_Cost]])</f>
        <v>2950.3366880000017</v>
      </c>
      <c r="G227" s="3">
        <v>13</v>
      </c>
      <c r="H227" t="s">
        <v>29</v>
      </c>
      <c r="I227">
        <v>2684.5</v>
      </c>
      <c r="J227" s="2">
        <v>2913.78</v>
      </c>
      <c r="K227" t="s">
        <v>30</v>
      </c>
      <c r="L227" s="4">
        <v>0.08</v>
      </c>
      <c r="M227" t="s">
        <v>31</v>
      </c>
      <c r="N227" t="s">
        <v>22</v>
      </c>
      <c r="O227" t="s">
        <v>32</v>
      </c>
    </row>
    <row r="228" spans="1:15" x14ac:dyDescent="0.25">
      <c r="A228" s="3">
        <v>1054</v>
      </c>
      <c r="B228" s="1">
        <v>45222</v>
      </c>
      <c r="C228" t="s">
        <v>24</v>
      </c>
      <c r="D228" t="s">
        <v>34</v>
      </c>
      <c r="E228" s="2">
        <f>Table1[[#This Row],[Quantity_Sold]] * Table1[[#This Row],[Unit_Price]] * (1 - (Table1[[#This Row],[Discount]] / 100))</f>
        <v>33332.938800000004</v>
      </c>
      <c r="F228" s="2">
        <f>Table1[[#This Row],[Quantity_Sold]] * ((Table1[[#This Row],[Unit_Price]] * (1 - (Table1[[#This Row],[Discount]] / 100))) - Table1[[#This Row],[Unit_Cost]])</f>
        <v>395.89880000000267</v>
      </c>
      <c r="G228" s="3">
        <v>8</v>
      </c>
      <c r="H228" t="s">
        <v>26</v>
      </c>
      <c r="I228">
        <v>4117.13</v>
      </c>
      <c r="J228" s="2">
        <v>4177.0600000000004</v>
      </c>
      <c r="K228" t="s">
        <v>17</v>
      </c>
      <c r="L228" s="4">
        <v>0.25</v>
      </c>
      <c r="M228" t="s">
        <v>27</v>
      </c>
      <c r="N228" t="s">
        <v>22</v>
      </c>
      <c r="O228" t="s">
        <v>50</v>
      </c>
    </row>
    <row r="229" spans="1:15" x14ac:dyDescent="0.25">
      <c r="A229" s="3">
        <v>1087</v>
      </c>
      <c r="B229" s="1">
        <v>45223</v>
      </c>
      <c r="C229" t="s">
        <v>14</v>
      </c>
      <c r="D229" t="s">
        <v>34</v>
      </c>
      <c r="E229" s="2">
        <f>Table1[[#This Row],[Quantity_Sold]] * Table1[[#This Row],[Unit_Price]] * (1 - (Table1[[#This Row],[Discount]] / 100))</f>
        <v>15928.905468000001</v>
      </c>
      <c r="F229" s="2">
        <f>Table1[[#This Row],[Quantity_Sold]] * ((Table1[[#This Row],[Unit_Price]] * (1 - (Table1[[#This Row],[Discount]] / 100))) - Table1[[#This Row],[Unit_Cost]])</f>
        <v>477.66546800000015</v>
      </c>
      <c r="G229" s="3">
        <v>28</v>
      </c>
      <c r="H229" t="s">
        <v>29</v>
      </c>
      <c r="I229">
        <v>551.83000000000004</v>
      </c>
      <c r="J229" s="2">
        <v>569.63</v>
      </c>
      <c r="K229" t="s">
        <v>30</v>
      </c>
      <c r="L229" s="4">
        <v>0.13</v>
      </c>
      <c r="M229" t="s">
        <v>31</v>
      </c>
      <c r="N229" t="s">
        <v>22</v>
      </c>
      <c r="O229" t="s">
        <v>46</v>
      </c>
    </row>
    <row r="230" spans="1:15" x14ac:dyDescent="0.25">
      <c r="A230" s="3">
        <v>1096</v>
      </c>
      <c r="B230" s="1">
        <v>45140</v>
      </c>
      <c r="C230" t="s">
        <v>14</v>
      </c>
      <c r="D230" t="s">
        <v>15</v>
      </c>
      <c r="E230" s="2">
        <f>Table1[[#This Row],[Quantity_Sold]] * Table1[[#This Row],[Unit_Price]] * (1 - (Table1[[#This Row],[Discount]] / 100))</f>
        <v>128350.93703999999</v>
      </c>
      <c r="F230" s="2">
        <f>Table1[[#This Row],[Quantity_Sold]] * ((Table1[[#This Row],[Unit_Price]] * (1 - (Table1[[#This Row],[Discount]] / 100))) - Table1[[#This Row],[Unit_Cost]])</f>
        <v>9255.1370399999942</v>
      </c>
      <c r="G230" s="3">
        <v>30</v>
      </c>
      <c r="H230" t="s">
        <v>35</v>
      </c>
      <c r="I230">
        <v>3969.86</v>
      </c>
      <c r="J230" s="2">
        <v>4281.79</v>
      </c>
      <c r="K230" t="s">
        <v>17</v>
      </c>
      <c r="L230" s="4">
        <v>0.08</v>
      </c>
      <c r="M230" t="s">
        <v>27</v>
      </c>
      <c r="N230" t="s">
        <v>22</v>
      </c>
      <c r="O230" t="s">
        <v>20</v>
      </c>
    </row>
    <row r="231" spans="1:15" x14ac:dyDescent="0.25">
      <c r="A231" s="3">
        <v>1097</v>
      </c>
      <c r="B231" s="1">
        <v>45193</v>
      </c>
      <c r="C231" t="s">
        <v>42</v>
      </c>
      <c r="D231" t="s">
        <v>34</v>
      </c>
      <c r="E231" s="2">
        <f>Table1[[#This Row],[Quantity_Sold]] * Table1[[#This Row],[Unit_Price]] * (1 - (Table1[[#This Row],[Discount]] / 100))</f>
        <v>40883.690627999997</v>
      </c>
      <c r="F231" s="2">
        <f>Table1[[#This Row],[Quantity_Sold]] * ((Table1[[#This Row],[Unit_Price]] * (1 - (Table1[[#This Row],[Discount]] / 100))) - Table1[[#This Row],[Unit_Cost]])</f>
        <v>4278.1706279999999</v>
      </c>
      <c r="G231" s="3">
        <v>9</v>
      </c>
      <c r="H231" t="s">
        <v>26</v>
      </c>
      <c r="I231">
        <v>4067.28</v>
      </c>
      <c r="J231" s="2">
        <v>4548.09</v>
      </c>
      <c r="K231" t="s">
        <v>17</v>
      </c>
      <c r="L231" s="4">
        <v>0.12</v>
      </c>
      <c r="M231" t="s">
        <v>31</v>
      </c>
      <c r="N231" t="s">
        <v>22</v>
      </c>
      <c r="O231" t="s">
        <v>52</v>
      </c>
    </row>
    <row r="232" spans="1:15" x14ac:dyDescent="0.25">
      <c r="A232" s="3">
        <v>1001</v>
      </c>
      <c r="B232" s="1">
        <v>45183</v>
      </c>
      <c r="C232" t="s">
        <v>38</v>
      </c>
      <c r="D232" t="s">
        <v>25</v>
      </c>
      <c r="E232" s="2">
        <f>Table1[[#This Row],[Quantity_Sold]] * Table1[[#This Row],[Unit_Price]] * (1 - (Table1[[#This Row],[Discount]] / 100))</f>
        <v>112415.38717500001</v>
      </c>
      <c r="F232" s="2">
        <f>Table1[[#This Row],[Quantity_Sold]] * ((Table1[[#This Row],[Unit_Price]] * (1 - (Table1[[#This Row],[Discount]] / 100))) - Table1[[#This Row],[Unit_Cost]])</f>
        <v>17362.247175</v>
      </c>
      <c r="G232" s="3">
        <v>39</v>
      </c>
      <c r="H232" t="s">
        <v>26</v>
      </c>
      <c r="I232">
        <v>2437.2600000000002</v>
      </c>
      <c r="J232" s="2">
        <v>2889.67</v>
      </c>
      <c r="K232" t="s">
        <v>17</v>
      </c>
      <c r="L232" s="4">
        <v>0.25</v>
      </c>
      <c r="M232" t="s">
        <v>18</v>
      </c>
      <c r="N232" t="s">
        <v>19</v>
      </c>
      <c r="O232" t="s">
        <v>39</v>
      </c>
    </row>
    <row r="233" spans="1:15" x14ac:dyDescent="0.25">
      <c r="A233" s="3">
        <v>1019</v>
      </c>
      <c r="B233" s="1">
        <v>45228</v>
      </c>
      <c r="C233" t="s">
        <v>24</v>
      </c>
      <c r="D233" t="s">
        <v>21</v>
      </c>
      <c r="E233" s="2">
        <f>Table1[[#This Row],[Quantity_Sold]] * Table1[[#This Row],[Unit_Price]] * (1 - (Table1[[#This Row],[Discount]] / 100))</f>
        <v>21229.604760000002</v>
      </c>
      <c r="F233" s="2">
        <f>Table1[[#This Row],[Quantity_Sold]] * ((Table1[[#This Row],[Unit_Price]] * (1 - (Table1[[#This Row],[Discount]] / 100))) - Table1[[#This Row],[Unit_Cost]])</f>
        <v>10885.214760000001</v>
      </c>
      <c r="G233" s="3">
        <v>31</v>
      </c>
      <c r="H233" t="s">
        <v>26</v>
      </c>
      <c r="I233">
        <v>333.69</v>
      </c>
      <c r="J233" s="2">
        <v>685.1</v>
      </c>
      <c r="K233" t="s">
        <v>30</v>
      </c>
      <c r="L233" s="4">
        <v>0.04</v>
      </c>
      <c r="M233" t="s">
        <v>27</v>
      </c>
      <c r="N233" t="s">
        <v>19</v>
      </c>
      <c r="O233" t="s">
        <v>47</v>
      </c>
    </row>
    <row r="234" spans="1:15" x14ac:dyDescent="0.25">
      <c r="A234" s="3">
        <v>1002</v>
      </c>
      <c r="B234" s="1">
        <v>45027</v>
      </c>
      <c r="C234" t="s">
        <v>14</v>
      </c>
      <c r="D234" t="s">
        <v>15</v>
      </c>
      <c r="E234" s="2">
        <f>Table1[[#This Row],[Quantity_Sold]] * Table1[[#This Row],[Unit_Price]] * (1 - (Table1[[#This Row],[Discount]] / 100))</f>
        <v>20374.405842000004</v>
      </c>
      <c r="F234" s="2">
        <f>Table1[[#This Row],[Quantity_Sold]] * ((Table1[[#This Row],[Unit_Price]] * (1 - (Table1[[#This Row],[Discount]] / 100))) - Table1[[#This Row],[Unit_Cost]])</f>
        <v>1175.7858420000011</v>
      </c>
      <c r="G234" s="3">
        <v>21</v>
      </c>
      <c r="H234" t="s">
        <v>26</v>
      </c>
      <c r="I234">
        <v>914.22</v>
      </c>
      <c r="J234" s="2">
        <v>971.57</v>
      </c>
      <c r="K234" t="s">
        <v>17</v>
      </c>
      <c r="L234" s="4">
        <v>0.14000000000000001</v>
      </c>
      <c r="M234" t="s">
        <v>18</v>
      </c>
      <c r="N234" t="s">
        <v>19</v>
      </c>
      <c r="O234" t="s">
        <v>20</v>
      </c>
    </row>
    <row r="235" spans="1:15" x14ac:dyDescent="0.25">
      <c r="A235" s="3">
        <v>1053</v>
      </c>
      <c r="B235" s="1">
        <v>45272</v>
      </c>
      <c r="C235" t="s">
        <v>42</v>
      </c>
      <c r="D235" t="s">
        <v>25</v>
      </c>
      <c r="E235" s="2">
        <f>Table1[[#This Row],[Quantity_Sold]] * Table1[[#This Row],[Unit_Price]] * (1 - (Table1[[#This Row],[Discount]] / 100))</f>
        <v>173456.12495</v>
      </c>
      <c r="F235" s="2">
        <f>Table1[[#This Row],[Quantity_Sold]] * ((Table1[[#This Row],[Unit_Price]] * (1 - (Table1[[#This Row],[Discount]] / 100))) - Table1[[#This Row],[Unit_Cost]])</f>
        <v>6523.4049499999983</v>
      </c>
      <c r="G235" s="3">
        <v>47</v>
      </c>
      <c r="H235" t="s">
        <v>35</v>
      </c>
      <c r="I235">
        <v>3551.76</v>
      </c>
      <c r="J235" s="2">
        <v>3696.1</v>
      </c>
      <c r="K235" t="s">
        <v>17</v>
      </c>
      <c r="L235" s="4">
        <v>0.15</v>
      </c>
      <c r="M235" t="s">
        <v>27</v>
      </c>
      <c r="N235" t="s">
        <v>22</v>
      </c>
      <c r="O235" t="s">
        <v>43</v>
      </c>
    </row>
    <row r="236" spans="1:15" x14ac:dyDescent="0.25">
      <c r="A236" s="3">
        <v>1044</v>
      </c>
      <c r="B236" s="1">
        <v>45036</v>
      </c>
      <c r="C236" t="s">
        <v>33</v>
      </c>
      <c r="D236" t="s">
        <v>21</v>
      </c>
      <c r="E236" s="2">
        <f>Table1[[#This Row],[Quantity_Sold]] * Table1[[#This Row],[Unit_Price]] * (1 - (Table1[[#This Row],[Discount]] / 100))</f>
        <v>127151.70355799999</v>
      </c>
      <c r="F236" s="2">
        <f>Table1[[#This Row],[Quantity_Sold]] * ((Table1[[#This Row],[Unit_Price]] * (1 - (Table1[[#This Row],[Discount]] / 100))) - Table1[[#This Row],[Unit_Cost]])</f>
        <v>5659.503557999994</v>
      </c>
      <c r="G236" s="3">
        <v>34</v>
      </c>
      <c r="H236" t="s">
        <v>26</v>
      </c>
      <c r="I236">
        <v>3573.3</v>
      </c>
      <c r="J236" s="2">
        <v>3740.13</v>
      </c>
      <c r="K236" t="s">
        <v>17</v>
      </c>
      <c r="L236" s="4">
        <v>0.01</v>
      </c>
      <c r="M236" t="s">
        <v>31</v>
      </c>
      <c r="N236" t="s">
        <v>19</v>
      </c>
      <c r="O236" t="s">
        <v>37</v>
      </c>
    </row>
    <row r="237" spans="1:15" x14ac:dyDescent="0.25">
      <c r="A237" s="3">
        <v>1090</v>
      </c>
      <c r="B237" s="1">
        <v>45108</v>
      </c>
      <c r="C237" t="s">
        <v>24</v>
      </c>
      <c r="D237" t="s">
        <v>15</v>
      </c>
      <c r="E237" s="2">
        <f>Table1[[#This Row],[Quantity_Sold]] * Table1[[#This Row],[Unit_Price]] * (1 - (Table1[[#This Row],[Discount]] / 100))</f>
        <v>151214.01711999968</v>
      </c>
      <c r="F237" s="2">
        <f>Table1[[#This Row],[Quantity_Sold]] * ((Table1[[#This Row],[Unit_Price]] * (1 - (Table1[[#This Row],[Discount]] / 100))) - Table1[[#This Row],[Unit_Cost]])</f>
        <v>11811.357119999691</v>
      </c>
      <c r="G237" s="3">
        <v>31</v>
      </c>
      <c r="H237" t="s">
        <v>16</v>
      </c>
      <c r="I237">
        <v>4496.8599999999997</v>
      </c>
      <c r="J237" s="2">
        <v>4880.7999999999902</v>
      </c>
      <c r="K237" t="s">
        <v>30</v>
      </c>
      <c r="L237" s="4">
        <v>0.06</v>
      </c>
      <c r="M237" t="s">
        <v>18</v>
      </c>
      <c r="N237" t="s">
        <v>22</v>
      </c>
      <c r="O237" t="s">
        <v>45</v>
      </c>
    </row>
    <row r="238" spans="1:15" x14ac:dyDescent="0.25">
      <c r="A238" s="3">
        <v>1032</v>
      </c>
      <c r="B238" s="1">
        <v>45239</v>
      </c>
      <c r="C238" t="s">
        <v>14</v>
      </c>
      <c r="D238" t="s">
        <v>34</v>
      </c>
      <c r="E238" s="2">
        <f>Table1[[#This Row],[Quantity_Sold]] * Table1[[#This Row],[Unit_Price]] * (1 - (Table1[[#This Row],[Discount]] / 100))</f>
        <v>83226.412500000006</v>
      </c>
      <c r="F238" s="2">
        <f>Table1[[#This Row],[Quantity_Sold]] * ((Table1[[#This Row],[Unit_Price]] * (1 - (Table1[[#This Row],[Discount]] / 100))) - Table1[[#This Row],[Unit_Cost]])</f>
        <v>9868.9124999999985</v>
      </c>
      <c r="G238" s="3">
        <v>25</v>
      </c>
      <c r="H238" t="s">
        <v>35</v>
      </c>
      <c r="I238">
        <v>2934.3</v>
      </c>
      <c r="J238" s="2">
        <v>3337.4</v>
      </c>
      <c r="K238" t="s">
        <v>17</v>
      </c>
      <c r="L238" s="4">
        <v>0.25</v>
      </c>
      <c r="M238" t="s">
        <v>31</v>
      </c>
      <c r="N238" t="s">
        <v>22</v>
      </c>
      <c r="O238" t="s">
        <v>46</v>
      </c>
    </row>
    <row r="239" spans="1:15" x14ac:dyDescent="0.25">
      <c r="A239" s="3">
        <v>1070</v>
      </c>
      <c r="B239" s="1">
        <v>44927</v>
      </c>
      <c r="C239" t="s">
        <v>38</v>
      </c>
      <c r="D239" t="s">
        <v>25</v>
      </c>
      <c r="E239" s="2">
        <f>Table1[[#This Row],[Quantity_Sold]] * Table1[[#This Row],[Unit_Price]] * (1 - (Table1[[#This Row],[Discount]] / 100))</f>
        <v>10330.4691</v>
      </c>
      <c r="F239" s="2">
        <f>Table1[[#This Row],[Quantity_Sold]] * ((Table1[[#This Row],[Unit_Price]] * (1 - (Table1[[#This Row],[Discount]] / 100))) - Table1[[#This Row],[Unit_Cost]])</f>
        <v>2358.5090999999998</v>
      </c>
      <c r="G239" s="3">
        <v>12</v>
      </c>
      <c r="H239" t="s">
        <v>16</v>
      </c>
      <c r="I239">
        <v>664.33</v>
      </c>
      <c r="J239" s="2">
        <v>863.03</v>
      </c>
      <c r="K239" t="s">
        <v>17</v>
      </c>
      <c r="L239" s="4">
        <v>0.25</v>
      </c>
      <c r="M239" t="s">
        <v>27</v>
      </c>
      <c r="N239" t="s">
        <v>22</v>
      </c>
      <c r="O239" t="s">
        <v>39</v>
      </c>
    </row>
    <row r="240" spans="1:15" x14ac:dyDescent="0.25">
      <c r="A240" s="3">
        <v>1032</v>
      </c>
      <c r="B240" s="1">
        <v>45245</v>
      </c>
      <c r="C240" t="s">
        <v>42</v>
      </c>
      <c r="D240" t="s">
        <v>21</v>
      </c>
      <c r="E240" s="2">
        <f>Table1[[#This Row],[Quantity_Sold]] * Table1[[#This Row],[Unit_Price]] * (1 - (Table1[[#This Row],[Discount]] / 100))</f>
        <v>864.980816</v>
      </c>
      <c r="F240" s="2">
        <f>Table1[[#This Row],[Quantity_Sold]] * ((Table1[[#This Row],[Unit_Price]] * (1 - (Table1[[#This Row],[Discount]] / 100))) - Table1[[#This Row],[Unit_Cost]])</f>
        <v>213.980816</v>
      </c>
      <c r="G240" s="3">
        <v>1</v>
      </c>
      <c r="H240" t="s">
        <v>26</v>
      </c>
      <c r="I240">
        <v>651</v>
      </c>
      <c r="J240" s="2">
        <v>865.76</v>
      </c>
      <c r="K240" t="s">
        <v>17</v>
      </c>
      <c r="L240" s="4">
        <v>0.09</v>
      </c>
      <c r="M240" t="s">
        <v>27</v>
      </c>
      <c r="N240" t="s">
        <v>22</v>
      </c>
      <c r="O240" t="s">
        <v>51</v>
      </c>
    </row>
    <row r="241" spans="1:15" x14ac:dyDescent="0.25">
      <c r="A241" s="3">
        <v>1068</v>
      </c>
      <c r="B241" s="1">
        <v>44981</v>
      </c>
      <c r="C241" t="s">
        <v>14</v>
      </c>
      <c r="D241" t="s">
        <v>15</v>
      </c>
      <c r="E241" s="2">
        <f>Table1[[#This Row],[Quantity_Sold]] * Table1[[#This Row],[Unit_Price]] * (1 - (Table1[[#This Row],[Discount]] / 100))</f>
        <v>80122.378775999998</v>
      </c>
      <c r="F241" s="2">
        <f>Table1[[#This Row],[Quantity_Sold]] * ((Table1[[#This Row],[Unit_Price]] * (1 - (Table1[[#This Row],[Discount]] / 100))) - Table1[[#This Row],[Unit_Cost]])</f>
        <v>490.95877599999858</v>
      </c>
      <c r="G241" s="3">
        <v>22</v>
      </c>
      <c r="H241" t="s">
        <v>29</v>
      </c>
      <c r="I241">
        <v>3619.61</v>
      </c>
      <c r="J241" s="2">
        <v>3651.42</v>
      </c>
      <c r="K241" t="s">
        <v>17</v>
      </c>
      <c r="L241" s="4">
        <v>0.26</v>
      </c>
      <c r="M241" t="s">
        <v>27</v>
      </c>
      <c r="N241" t="s">
        <v>19</v>
      </c>
      <c r="O241" t="s">
        <v>20</v>
      </c>
    </row>
    <row r="242" spans="1:15" x14ac:dyDescent="0.25">
      <c r="A242" s="3">
        <v>1055</v>
      </c>
      <c r="B242" s="1">
        <v>45075</v>
      </c>
      <c r="C242" t="s">
        <v>38</v>
      </c>
      <c r="D242" t="s">
        <v>15</v>
      </c>
      <c r="E242" s="2">
        <f>Table1[[#This Row],[Quantity_Sold]] * Table1[[#This Row],[Unit_Price]] * (1 - (Table1[[#This Row],[Discount]] / 100))</f>
        <v>44354.150280000002</v>
      </c>
      <c r="F242" s="2">
        <f>Table1[[#This Row],[Quantity_Sold]] * ((Table1[[#This Row],[Unit_Price]] * (1 - (Table1[[#This Row],[Discount]] / 100))) - Table1[[#This Row],[Unit_Cost]])</f>
        <v>5964.9502800000027</v>
      </c>
      <c r="G242" s="3">
        <v>40</v>
      </c>
      <c r="H242" t="s">
        <v>16</v>
      </c>
      <c r="I242">
        <v>959.73</v>
      </c>
      <c r="J242" s="2">
        <v>1111.4100000000001</v>
      </c>
      <c r="K242" t="s">
        <v>30</v>
      </c>
      <c r="L242" s="4">
        <v>0.23</v>
      </c>
      <c r="M242" t="s">
        <v>27</v>
      </c>
      <c r="N242" t="s">
        <v>19</v>
      </c>
      <c r="O242" t="s">
        <v>40</v>
      </c>
    </row>
    <row r="243" spans="1:15" x14ac:dyDescent="0.25">
      <c r="A243" s="3">
        <v>1075</v>
      </c>
      <c r="B243" s="1">
        <v>45235</v>
      </c>
      <c r="C243" t="s">
        <v>14</v>
      </c>
      <c r="D243" t="s">
        <v>34</v>
      </c>
      <c r="E243" s="2">
        <f>Table1[[#This Row],[Quantity_Sold]] * Table1[[#This Row],[Unit_Price]] * (1 - (Table1[[#This Row],[Discount]] / 100))</f>
        <v>70453.970615999628</v>
      </c>
      <c r="F243" s="2">
        <f>Table1[[#This Row],[Quantity_Sold]] * ((Table1[[#This Row],[Unit_Price]] * (1 - (Table1[[#This Row],[Discount]] / 100))) - Table1[[#This Row],[Unit_Cost]])</f>
        <v>8460.1006159996396</v>
      </c>
      <c r="G243" s="3">
        <v>37</v>
      </c>
      <c r="H243" t="s">
        <v>26</v>
      </c>
      <c r="I243">
        <v>1675.51</v>
      </c>
      <c r="J243" s="2">
        <v>1906.6399999999901</v>
      </c>
      <c r="K243" t="s">
        <v>30</v>
      </c>
      <c r="L243" s="4">
        <v>0.13</v>
      </c>
      <c r="M243" t="s">
        <v>27</v>
      </c>
      <c r="N243" t="s">
        <v>19</v>
      </c>
      <c r="O243" t="s">
        <v>46</v>
      </c>
    </row>
    <row r="244" spans="1:15" x14ac:dyDescent="0.25">
      <c r="A244" s="3">
        <v>1056</v>
      </c>
      <c r="B244" s="1">
        <v>45063</v>
      </c>
      <c r="C244" t="s">
        <v>24</v>
      </c>
      <c r="D244" t="s">
        <v>21</v>
      </c>
      <c r="E244" s="2">
        <f>Table1[[#This Row],[Quantity_Sold]] * Table1[[#This Row],[Unit_Price]] * (1 - (Table1[[#This Row],[Discount]] / 100))</f>
        <v>118602.43933200001</v>
      </c>
      <c r="F244" s="2">
        <f>Table1[[#This Row],[Quantity_Sold]] * ((Table1[[#This Row],[Unit_Price]] * (1 - (Table1[[#This Row],[Discount]] / 100))) - Table1[[#This Row],[Unit_Cost]])</f>
        <v>2902.5393320000176</v>
      </c>
      <c r="G244" s="3">
        <v>47</v>
      </c>
      <c r="H244" t="s">
        <v>16</v>
      </c>
      <c r="I244">
        <v>2461.6999999999998</v>
      </c>
      <c r="J244" s="2">
        <v>2529.02</v>
      </c>
      <c r="K244" t="s">
        <v>17</v>
      </c>
      <c r="L244" s="4">
        <v>0.22</v>
      </c>
      <c r="M244" t="s">
        <v>18</v>
      </c>
      <c r="N244" t="s">
        <v>22</v>
      </c>
      <c r="O244" t="s">
        <v>47</v>
      </c>
    </row>
    <row r="245" spans="1:15" x14ac:dyDescent="0.25">
      <c r="A245" s="3">
        <v>1017</v>
      </c>
      <c r="B245" s="1">
        <v>45128</v>
      </c>
      <c r="C245" t="s">
        <v>24</v>
      </c>
      <c r="D245" t="s">
        <v>34</v>
      </c>
      <c r="E245" s="2">
        <f>Table1[[#This Row],[Quantity_Sold]] * Table1[[#This Row],[Unit_Price]] * (1 - (Table1[[#This Row],[Discount]] / 100))</f>
        <v>403.51639899999998</v>
      </c>
      <c r="F245" s="2">
        <f>Table1[[#This Row],[Quantity_Sold]] * ((Table1[[#This Row],[Unit_Price]] * (1 - (Table1[[#This Row],[Discount]] / 100))) - Table1[[#This Row],[Unit_Cost]])</f>
        <v>230.92639899999998</v>
      </c>
      <c r="G245" s="3">
        <v>1</v>
      </c>
      <c r="H245" t="s">
        <v>26</v>
      </c>
      <c r="I245">
        <v>172.59</v>
      </c>
      <c r="J245" s="2">
        <v>404.69</v>
      </c>
      <c r="K245" t="s">
        <v>17</v>
      </c>
      <c r="L245" s="4">
        <v>0.28999999999999998</v>
      </c>
      <c r="M245" t="s">
        <v>27</v>
      </c>
      <c r="N245" t="s">
        <v>19</v>
      </c>
      <c r="O245" t="s">
        <v>50</v>
      </c>
    </row>
    <row r="246" spans="1:15" x14ac:dyDescent="0.25">
      <c r="A246" s="3">
        <v>1038</v>
      </c>
      <c r="B246" s="1">
        <v>45239</v>
      </c>
      <c r="C246" t="s">
        <v>24</v>
      </c>
      <c r="D246" t="s">
        <v>34</v>
      </c>
      <c r="E246" s="2">
        <f>Table1[[#This Row],[Quantity_Sold]] * Table1[[#This Row],[Unit_Price]] * (1 - (Table1[[#This Row],[Discount]] / 100))</f>
        <v>1707.3164060000001</v>
      </c>
      <c r="F246" s="2">
        <f>Table1[[#This Row],[Quantity_Sold]] * ((Table1[[#This Row],[Unit_Price]] * (1 - (Table1[[#This Row],[Discount]] / 100))) - Table1[[#This Row],[Unit_Cost]])</f>
        <v>425.66640600000005</v>
      </c>
      <c r="G246" s="3">
        <v>1</v>
      </c>
      <c r="H246" t="s">
        <v>26</v>
      </c>
      <c r="I246">
        <v>1281.6500000000001</v>
      </c>
      <c r="J246" s="2">
        <v>1709.71</v>
      </c>
      <c r="K246" t="s">
        <v>17</v>
      </c>
      <c r="L246" s="4">
        <v>0.14000000000000001</v>
      </c>
      <c r="M246" t="s">
        <v>31</v>
      </c>
      <c r="N246" t="s">
        <v>19</v>
      </c>
      <c r="O246" t="s">
        <v>50</v>
      </c>
    </row>
    <row r="247" spans="1:15" x14ac:dyDescent="0.25">
      <c r="A247" s="3">
        <v>1024</v>
      </c>
      <c r="B247" s="1">
        <v>45043</v>
      </c>
      <c r="C247" t="s">
        <v>42</v>
      </c>
      <c r="D247" t="s">
        <v>21</v>
      </c>
      <c r="E247" s="2">
        <f>Table1[[#This Row],[Quantity_Sold]] * Table1[[#This Row],[Unit_Price]] * (1 - (Table1[[#This Row],[Discount]] / 100))</f>
        <v>99214.301340000005</v>
      </c>
      <c r="F247" s="2">
        <f>Table1[[#This Row],[Quantity_Sold]] * ((Table1[[#This Row],[Unit_Price]] * (1 - (Table1[[#This Row],[Discount]] / 100))) - Table1[[#This Row],[Unit_Cost]])</f>
        <v>12314.201339999989</v>
      </c>
      <c r="G247" s="3">
        <v>42</v>
      </c>
      <c r="H247" t="s">
        <v>26</v>
      </c>
      <c r="I247">
        <v>2069.0500000000002</v>
      </c>
      <c r="J247" s="2">
        <v>2363.9</v>
      </c>
      <c r="K247" t="s">
        <v>17</v>
      </c>
      <c r="L247" s="4">
        <v>7.0000000000000007E-2</v>
      </c>
      <c r="M247" t="s">
        <v>18</v>
      </c>
      <c r="N247" t="s">
        <v>19</v>
      </c>
      <c r="O247" t="s">
        <v>51</v>
      </c>
    </row>
    <row r="248" spans="1:15" x14ac:dyDescent="0.25">
      <c r="A248" s="3">
        <v>1069</v>
      </c>
      <c r="B248" s="1">
        <v>45080</v>
      </c>
      <c r="C248" t="s">
        <v>24</v>
      </c>
      <c r="D248" t="s">
        <v>21</v>
      </c>
      <c r="E248" s="2">
        <f>Table1[[#This Row],[Quantity_Sold]] * Table1[[#This Row],[Unit_Price]] * (1 - (Table1[[#This Row],[Discount]] / 100))</f>
        <v>62106.573312000008</v>
      </c>
      <c r="F248" s="2">
        <f>Table1[[#This Row],[Quantity_Sold]] * ((Table1[[#This Row],[Unit_Price]] * (1 - (Table1[[#This Row],[Discount]] / 100))) - Table1[[#This Row],[Unit_Cost]])</f>
        <v>1870.1733119999981</v>
      </c>
      <c r="G248" s="3">
        <v>42</v>
      </c>
      <c r="H248" t="s">
        <v>29</v>
      </c>
      <c r="I248">
        <v>1434.2</v>
      </c>
      <c r="J248" s="2">
        <v>1482.88</v>
      </c>
      <c r="K248" t="s">
        <v>30</v>
      </c>
      <c r="L248" s="4">
        <v>0.28000000000000003</v>
      </c>
      <c r="M248" t="s">
        <v>31</v>
      </c>
      <c r="N248" t="s">
        <v>22</v>
      </c>
      <c r="O248" t="s">
        <v>47</v>
      </c>
    </row>
    <row r="249" spans="1:15" x14ac:dyDescent="0.25">
      <c r="A249" s="3">
        <v>1098</v>
      </c>
      <c r="B249" s="1">
        <v>45217</v>
      </c>
      <c r="C249" t="s">
        <v>38</v>
      </c>
      <c r="D249" t="s">
        <v>21</v>
      </c>
      <c r="E249" s="2">
        <f>Table1[[#This Row],[Quantity_Sold]] * Table1[[#This Row],[Unit_Price]] * (1 - (Table1[[#This Row],[Discount]] / 100))</f>
        <v>17376.615689999977</v>
      </c>
      <c r="F249" s="2">
        <f>Table1[[#This Row],[Quantity_Sold]] * ((Table1[[#This Row],[Unit_Price]] * (1 - (Table1[[#This Row],[Discount]] / 100))) - Table1[[#This Row],[Unit_Cost]])</f>
        <v>2150.9856899999795</v>
      </c>
      <c r="G249" s="3">
        <v>21</v>
      </c>
      <c r="H249" t="s">
        <v>16</v>
      </c>
      <c r="I249">
        <v>725.03</v>
      </c>
      <c r="J249" s="2">
        <v>828.94999999999902</v>
      </c>
      <c r="K249" t="s">
        <v>30</v>
      </c>
      <c r="L249" s="4">
        <v>0.18</v>
      </c>
      <c r="M249" t="s">
        <v>27</v>
      </c>
      <c r="N249" t="s">
        <v>19</v>
      </c>
      <c r="O249" t="s">
        <v>41</v>
      </c>
    </row>
    <row r="250" spans="1:15" x14ac:dyDescent="0.25">
      <c r="A250" s="3">
        <v>1070</v>
      </c>
      <c r="B250" s="1">
        <v>44989</v>
      </c>
      <c r="C250" t="s">
        <v>14</v>
      </c>
      <c r="D250" t="s">
        <v>25</v>
      </c>
      <c r="E250" s="2">
        <f>Table1[[#This Row],[Quantity_Sold]] * Table1[[#This Row],[Unit_Price]] * (1 - (Table1[[#This Row],[Discount]] / 100))</f>
        <v>58425.317145000001</v>
      </c>
      <c r="F250" s="2">
        <f>Table1[[#This Row],[Quantity_Sold]] * ((Table1[[#This Row],[Unit_Price]] * (1 - (Table1[[#This Row],[Discount]] / 100))) - Table1[[#This Row],[Unit_Cost]])</f>
        <v>3620.4171450000081</v>
      </c>
      <c r="G250" s="3">
        <v>15</v>
      </c>
      <c r="H250" t="s">
        <v>35</v>
      </c>
      <c r="I250">
        <v>3653.66</v>
      </c>
      <c r="J250" s="2">
        <v>3896.19</v>
      </c>
      <c r="K250" t="s">
        <v>30</v>
      </c>
      <c r="L250" s="4">
        <v>0.03</v>
      </c>
      <c r="M250" t="s">
        <v>31</v>
      </c>
      <c r="N250" t="s">
        <v>22</v>
      </c>
      <c r="O250" t="s">
        <v>32</v>
      </c>
    </row>
    <row r="251" spans="1:15" x14ac:dyDescent="0.25">
      <c r="A251" s="3">
        <v>1086</v>
      </c>
      <c r="B251" s="1">
        <v>45170</v>
      </c>
      <c r="C251" t="s">
        <v>33</v>
      </c>
      <c r="D251" t="s">
        <v>21</v>
      </c>
      <c r="E251" s="2">
        <f>Table1[[#This Row],[Quantity_Sold]] * Table1[[#This Row],[Unit_Price]] * (1 - (Table1[[#This Row],[Discount]] / 100))</f>
        <v>72334.392131000001</v>
      </c>
      <c r="F251" s="2">
        <f>Table1[[#This Row],[Quantity_Sold]] * ((Table1[[#This Row],[Unit_Price]] * (1 - (Table1[[#This Row],[Discount]] / 100))) - Table1[[#This Row],[Unit_Cost]])</f>
        <v>3058.0321309999918</v>
      </c>
      <c r="G251" s="3">
        <v>17</v>
      </c>
      <c r="H251" t="s">
        <v>35</v>
      </c>
      <c r="I251">
        <v>4075.08</v>
      </c>
      <c r="J251" s="2">
        <v>4262.21</v>
      </c>
      <c r="K251" t="s">
        <v>30</v>
      </c>
      <c r="L251" s="4">
        <v>0.17</v>
      </c>
      <c r="M251" t="s">
        <v>18</v>
      </c>
      <c r="N251" t="s">
        <v>19</v>
      </c>
      <c r="O251" t="s">
        <v>37</v>
      </c>
    </row>
    <row r="252" spans="1:15" x14ac:dyDescent="0.25">
      <c r="A252" s="3">
        <v>1011</v>
      </c>
      <c r="B252" s="1">
        <v>44951</v>
      </c>
      <c r="C252" t="s">
        <v>38</v>
      </c>
      <c r="D252" t="s">
        <v>15</v>
      </c>
      <c r="E252" s="2">
        <f>Table1[[#This Row],[Quantity_Sold]] * Table1[[#This Row],[Unit_Price]] * (1 - (Table1[[#This Row],[Discount]] / 100))</f>
        <v>33176.7601</v>
      </c>
      <c r="F252" s="2">
        <f>Table1[[#This Row],[Quantity_Sold]] * ((Table1[[#This Row],[Unit_Price]] * (1 - (Table1[[#This Row],[Discount]] / 100))) - Table1[[#This Row],[Unit_Cost]])</f>
        <v>4037.3201000000022</v>
      </c>
      <c r="G252" s="3">
        <v>22</v>
      </c>
      <c r="H252" t="s">
        <v>35</v>
      </c>
      <c r="I252">
        <v>1324.52</v>
      </c>
      <c r="J252" s="2">
        <v>1510.3</v>
      </c>
      <c r="K252" t="s">
        <v>17</v>
      </c>
      <c r="L252" s="4">
        <v>0.15</v>
      </c>
      <c r="M252" t="s">
        <v>18</v>
      </c>
      <c r="N252" t="s">
        <v>22</v>
      </c>
      <c r="O252" t="s">
        <v>40</v>
      </c>
    </row>
    <row r="253" spans="1:15" x14ac:dyDescent="0.25">
      <c r="A253" s="3">
        <v>1016</v>
      </c>
      <c r="B253" s="1">
        <v>45016</v>
      </c>
      <c r="C253" t="s">
        <v>38</v>
      </c>
      <c r="D253" t="s">
        <v>34</v>
      </c>
      <c r="E253" s="2">
        <f>Table1[[#This Row],[Quantity_Sold]] * Table1[[#This Row],[Unit_Price]] * (1 - (Table1[[#This Row],[Discount]] / 100))</f>
        <v>157393.071264</v>
      </c>
      <c r="F253" s="2">
        <f>Table1[[#This Row],[Quantity_Sold]] * ((Table1[[#This Row],[Unit_Price]] * (1 - (Table1[[#This Row],[Discount]] / 100))) - Table1[[#This Row],[Unit_Cost]])</f>
        <v>9824.6312639999942</v>
      </c>
      <c r="G253" s="3">
        <v>38</v>
      </c>
      <c r="H253" t="s">
        <v>35</v>
      </c>
      <c r="I253">
        <v>3883.38</v>
      </c>
      <c r="J253" s="2">
        <v>4152.72</v>
      </c>
      <c r="K253" t="s">
        <v>17</v>
      </c>
      <c r="L253" s="4">
        <v>0.26</v>
      </c>
      <c r="M253" t="s">
        <v>18</v>
      </c>
      <c r="N253" t="s">
        <v>19</v>
      </c>
      <c r="O253" t="s">
        <v>48</v>
      </c>
    </row>
    <row r="254" spans="1:15" x14ac:dyDescent="0.25">
      <c r="A254" s="3">
        <v>1097</v>
      </c>
      <c r="B254" s="1">
        <v>45001</v>
      </c>
      <c r="C254" t="s">
        <v>24</v>
      </c>
      <c r="D254" t="s">
        <v>25</v>
      </c>
      <c r="E254" s="2">
        <f>Table1[[#This Row],[Quantity_Sold]] * Table1[[#This Row],[Unit_Price]] * (1 - (Table1[[#This Row],[Discount]] / 100))</f>
        <v>78793.128960000002</v>
      </c>
      <c r="F254" s="2">
        <f>Table1[[#This Row],[Quantity_Sold]] * ((Table1[[#This Row],[Unit_Price]] * (1 - (Table1[[#This Row],[Discount]] / 100))) - Table1[[#This Row],[Unit_Cost]])</f>
        <v>10245.978960000008</v>
      </c>
      <c r="G254" s="3">
        <v>35</v>
      </c>
      <c r="H254" t="s">
        <v>26</v>
      </c>
      <c r="I254">
        <v>1958.49</v>
      </c>
      <c r="J254" s="2">
        <v>2254.84</v>
      </c>
      <c r="K254" t="s">
        <v>30</v>
      </c>
      <c r="L254" s="4">
        <v>0.16</v>
      </c>
      <c r="M254" t="s">
        <v>31</v>
      </c>
      <c r="N254" t="s">
        <v>19</v>
      </c>
      <c r="O254" t="s">
        <v>28</v>
      </c>
    </row>
    <row r="255" spans="1:15" x14ac:dyDescent="0.25">
      <c r="A255" s="3">
        <v>1073</v>
      </c>
      <c r="B255" s="1">
        <v>45220</v>
      </c>
      <c r="C255" t="s">
        <v>42</v>
      </c>
      <c r="D255" t="s">
        <v>21</v>
      </c>
      <c r="E255" s="2">
        <f>Table1[[#This Row],[Quantity_Sold]] * Table1[[#This Row],[Unit_Price]] * (1 - (Table1[[#This Row],[Discount]] / 100))</f>
        <v>133028.24220000001</v>
      </c>
      <c r="F255" s="2">
        <f>Table1[[#This Row],[Quantity_Sold]] * ((Table1[[#This Row],[Unit_Price]] * (1 - (Table1[[#This Row],[Discount]] / 100))) - Table1[[#This Row],[Unit_Cost]])</f>
        <v>17914.192199999994</v>
      </c>
      <c r="G255" s="3">
        <v>45</v>
      </c>
      <c r="H255" t="s">
        <v>16</v>
      </c>
      <c r="I255">
        <v>2558.09</v>
      </c>
      <c r="J255" s="2">
        <v>2958.55</v>
      </c>
      <c r="K255" t="s">
        <v>30</v>
      </c>
      <c r="L255" s="4">
        <v>0.08</v>
      </c>
      <c r="M255" t="s">
        <v>18</v>
      </c>
      <c r="N255" t="s">
        <v>19</v>
      </c>
      <c r="O255" t="s">
        <v>51</v>
      </c>
    </row>
    <row r="256" spans="1:15" x14ac:dyDescent="0.25">
      <c r="A256" s="3">
        <v>1059</v>
      </c>
      <c r="B256" s="1">
        <v>45136</v>
      </c>
      <c r="C256" t="s">
        <v>14</v>
      </c>
      <c r="D256" t="s">
        <v>25</v>
      </c>
      <c r="E256" s="2">
        <f>Table1[[#This Row],[Quantity_Sold]] * Table1[[#This Row],[Unit_Price]] * (1 - (Table1[[#This Row],[Discount]] / 100))</f>
        <v>71285.623039999991</v>
      </c>
      <c r="F256" s="2">
        <f>Table1[[#This Row],[Quantity_Sold]] * ((Table1[[#This Row],[Unit_Price]] * (1 - (Table1[[#This Row],[Discount]] / 100))) - Table1[[#This Row],[Unit_Cost]])</f>
        <v>2690.2630399999907</v>
      </c>
      <c r="G256" s="3">
        <v>16</v>
      </c>
      <c r="H256" t="s">
        <v>16</v>
      </c>
      <c r="I256">
        <v>4287.21</v>
      </c>
      <c r="J256" s="2">
        <v>4464.28</v>
      </c>
      <c r="K256" t="s">
        <v>17</v>
      </c>
      <c r="L256" s="4">
        <v>0.2</v>
      </c>
      <c r="M256" t="s">
        <v>31</v>
      </c>
      <c r="N256" t="s">
        <v>22</v>
      </c>
      <c r="O256" t="s">
        <v>32</v>
      </c>
    </row>
    <row r="257" spans="1:15" x14ac:dyDescent="0.25">
      <c r="A257" s="3">
        <v>1070</v>
      </c>
      <c r="B257" s="1">
        <v>45273</v>
      </c>
      <c r="C257" t="s">
        <v>42</v>
      </c>
      <c r="D257" t="s">
        <v>21</v>
      </c>
      <c r="E257" s="2">
        <f>Table1[[#This Row],[Quantity_Sold]] * Table1[[#This Row],[Unit_Price]] * (1 - (Table1[[#This Row],[Discount]] / 100))</f>
        <v>33282.263039999998</v>
      </c>
      <c r="F257" s="2">
        <f>Table1[[#This Row],[Quantity_Sold]] * ((Table1[[#This Row],[Unit_Price]] * (1 - (Table1[[#This Row],[Discount]] / 100))) - Table1[[#This Row],[Unit_Cost]])</f>
        <v>3184.1030399999981</v>
      </c>
      <c r="G257" s="3">
        <v>8</v>
      </c>
      <c r="H257" t="s">
        <v>29</v>
      </c>
      <c r="I257">
        <v>3762.27</v>
      </c>
      <c r="J257" s="2">
        <v>4166.95</v>
      </c>
      <c r="K257" t="s">
        <v>17</v>
      </c>
      <c r="L257" s="4">
        <v>0.16</v>
      </c>
      <c r="M257" t="s">
        <v>27</v>
      </c>
      <c r="N257" t="s">
        <v>19</v>
      </c>
      <c r="O257" t="s">
        <v>51</v>
      </c>
    </row>
    <row r="258" spans="1:15" x14ac:dyDescent="0.25">
      <c r="A258" s="3">
        <v>1080</v>
      </c>
      <c r="B258" s="1">
        <v>44943</v>
      </c>
      <c r="C258" t="s">
        <v>14</v>
      </c>
      <c r="D258" t="s">
        <v>25</v>
      </c>
      <c r="E258" s="2">
        <f>Table1[[#This Row],[Quantity_Sold]] * Table1[[#This Row],[Unit_Price]] * (1 - (Table1[[#This Row],[Discount]] / 100))</f>
        <v>197790.19987499999</v>
      </c>
      <c r="F258" s="2">
        <f>Table1[[#This Row],[Quantity_Sold]] * ((Table1[[#This Row],[Unit_Price]] * (1 - (Table1[[#This Row],[Discount]] / 100))) - Table1[[#This Row],[Unit_Cost]])</f>
        <v>8129.6898750000109</v>
      </c>
      <c r="G258" s="3">
        <v>47</v>
      </c>
      <c r="H258" t="s">
        <v>16</v>
      </c>
      <c r="I258">
        <v>4035.33</v>
      </c>
      <c r="J258" s="2">
        <v>4211.25</v>
      </c>
      <c r="K258" t="s">
        <v>17</v>
      </c>
      <c r="L258" s="4">
        <v>7.0000000000000007E-2</v>
      </c>
      <c r="M258" t="s">
        <v>27</v>
      </c>
      <c r="N258" t="s">
        <v>19</v>
      </c>
      <c r="O258" t="s">
        <v>32</v>
      </c>
    </row>
    <row r="259" spans="1:15" x14ac:dyDescent="0.25">
      <c r="A259" s="3">
        <v>1093</v>
      </c>
      <c r="B259" s="1">
        <v>45054</v>
      </c>
      <c r="C259" t="s">
        <v>14</v>
      </c>
      <c r="D259" t="s">
        <v>34</v>
      </c>
      <c r="E259" s="2">
        <f>Table1[[#This Row],[Quantity_Sold]] * Table1[[#This Row],[Unit_Price]] * (1 - (Table1[[#This Row],[Discount]] / 100))</f>
        <v>12975.084794</v>
      </c>
      <c r="F259" s="2">
        <f>Table1[[#This Row],[Quantity_Sold]] * ((Table1[[#This Row],[Unit_Price]] * (1 - (Table1[[#This Row],[Discount]] / 100))) - Table1[[#This Row],[Unit_Cost]])</f>
        <v>609.62479399999972</v>
      </c>
      <c r="G259" s="3">
        <v>17</v>
      </c>
      <c r="H259" t="s">
        <v>16</v>
      </c>
      <c r="I259">
        <v>727.38</v>
      </c>
      <c r="J259" s="2">
        <v>764.54</v>
      </c>
      <c r="K259" t="s">
        <v>17</v>
      </c>
      <c r="L259" s="4">
        <v>0.17</v>
      </c>
      <c r="M259" t="s">
        <v>31</v>
      </c>
      <c r="N259" t="s">
        <v>22</v>
      </c>
      <c r="O259" t="s">
        <v>46</v>
      </c>
    </row>
    <row r="260" spans="1:15" x14ac:dyDescent="0.25">
      <c r="A260" s="3">
        <v>1003</v>
      </c>
      <c r="B260" s="1">
        <v>45290</v>
      </c>
      <c r="C260" t="s">
        <v>42</v>
      </c>
      <c r="D260" t="s">
        <v>34</v>
      </c>
      <c r="E260" s="2">
        <f>Table1[[#This Row],[Quantity_Sold]] * Table1[[#This Row],[Unit_Price]] * (1 - (Table1[[#This Row],[Discount]] / 100))</f>
        <v>11474.461950000001</v>
      </c>
      <c r="F260" s="2">
        <f>Table1[[#This Row],[Quantity_Sold]] * ((Table1[[#This Row],[Unit_Price]] * (1 - (Table1[[#This Row],[Discount]] / 100))) - Table1[[#This Row],[Unit_Cost]])</f>
        <v>4757.59195</v>
      </c>
      <c r="G260" s="3">
        <v>17</v>
      </c>
      <c r="H260" t="s">
        <v>16</v>
      </c>
      <c r="I260">
        <v>395.11</v>
      </c>
      <c r="J260" s="2">
        <v>676.66</v>
      </c>
      <c r="K260" t="s">
        <v>17</v>
      </c>
      <c r="L260" s="4">
        <v>0.25</v>
      </c>
      <c r="M260" t="s">
        <v>18</v>
      </c>
      <c r="N260" t="s">
        <v>22</v>
      </c>
      <c r="O260" t="s">
        <v>52</v>
      </c>
    </row>
    <row r="261" spans="1:15" x14ac:dyDescent="0.25">
      <c r="A261" s="3">
        <v>1020</v>
      </c>
      <c r="B261" s="1">
        <v>45177</v>
      </c>
      <c r="C261" t="s">
        <v>38</v>
      </c>
      <c r="D261" t="s">
        <v>15</v>
      </c>
      <c r="E261" s="2">
        <f>Table1[[#This Row],[Quantity_Sold]] * Table1[[#This Row],[Unit_Price]] * (1 - (Table1[[#This Row],[Discount]] / 100))</f>
        <v>124018.51690800001</v>
      </c>
      <c r="F261" s="2">
        <f>Table1[[#This Row],[Quantity_Sold]] * ((Table1[[#This Row],[Unit_Price]] * (1 - (Table1[[#This Row],[Discount]] / 100))) - Table1[[#This Row],[Unit_Cost]])</f>
        <v>7737.4169080000047</v>
      </c>
      <c r="G261" s="3">
        <v>26</v>
      </c>
      <c r="H261" t="s">
        <v>29</v>
      </c>
      <c r="I261">
        <v>4472.3500000000004</v>
      </c>
      <c r="J261" s="2">
        <v>4770.42</v>
      </c>
      <c r="K261" t="s">
        <v>30</v>
      </c>
      <c r="L261" s="4">
        <v>0.01</v>
      </c>
      <c r="M261" t="s">
        <v>31</v>
      </c>
      <c r="N261" t="s">
        <v>22</v>
      </c>
      <c r="O261" t="s">
        <v>40</v>
      </c>
    </row>
    <row r="262" spans="1:15" x14ac:dyDescent="0.25">
      <c r="A262" s="3">
        <v>1059</v>
      </c>
      <c r="B262" s="1">
        <v>45105</v>
      </c>
      <c r="C262" t="s">
        <v>14</v>
      </c>
      <c r="D262" t="s">
        <v>15</v>
      </c>
      <c r="E262" s="2">
        <f>Table1[[#This Row],[Quantity_Sold]] * Table1[[#This Row],[Unit_Price]] * (1 - (Table1[[#This Row],[Discount]] / 100))</f>
        <v>31629.888809999997</v>
      </c>
      <c r="F262" s="2">
        <f>Table1[[#This Row],[Quantity_Sold]] * ((Table1[[#This Row],[Unit_Price]] * (1 - (Table1[[#This Row],[Discount]] / 100))) - Table1[[#This Row],[Unit_Cost]])</f>
        <v>6022.74881</v>
      </c>
      <c r="G262" s="3">
        <v>13</v>
      </c>
      <c r="H262" t="s">
        <v>35</v>
      </c>
      <c r="I262">
        <v>1969.78</v>
      </c>
      <c r="J262" s="2">
        <v>2437.6999999999998</v>
      </c>
      <c r="K262" t="s">
        <v>30</v>
      </c>
      <c r="L262" s="4">
        <v>0.19</v>
      </c>
      <c r="M262" t="s">
        <v>31</v>
      </c>
      <c r="N262" t="s">
        <v>22</v>
      </c>
      <c r="O262" t="s">
        <v>20</v>
      </c>
    </row>
    <row r="263" spans="1:15" x14ac:dyDescent="0.25">
      <c r="A263" s="3">
        <v>1036</v>
      </c>
      <c r="B263" s="1">
        <v>45108</v>
      </c>
      <c r="C263" t="s">
        <v>42</v>
      </c>
      <c r="D263" t="s">
        <v>21</v>
      </c>
      <c r="E263" s="2">
        <f>Table1[[#This Row],[Quantity_Sold]] * Table1[[#This Row],[Unit_Price]] * (1 - (Table1[[#This Row],[Discount]] / 100))</f>
        <v>31261.796910000001</v>
      </c>
      <c r="F263" s="2">
        <f>Table1[[#This Row],[Quantity_Sold]] * ((Table1[[#This Row],[Unit_Price]] * (1 - (Table1[[#This Row],[Discount]] / 100))) - Table1[[#This Row],[Unit_Cost]])</f>
        <v>6186.7969099999991</v>
      </c>
      <c r="G263" s="3">
        <v>17</v>
      </c>
      <c r="H263" t="s">
        <v>16</v>
      </c>
      <c r="I263">
        <v>1475</v>
      </c>
      <c r="J263" s="2">
        <v>1840.77</v>
      </c>
      <c r="K263" t="s">
        <v>17</v>
      </c>
      <c r="L263" s="4">
        <v>0.1</v>
      </c>
      <c r="M263" t="s">
        <v>31</v>
      </c>
      <c r="N263" t="s">
        <v>19</v>
      </c>
      <c r="O263" t="s">
        <v>51</v>
      </c>
    </row>
    <row r="264" spans="1:15" x14ac:dyDescent="0.25">
      <c r="A264" s="3">
        <v>1019</v>
      </c>
      <c r="B264" s="1">
        <v>45078</v>
      </c>
      <c r="C264" t="s">
        <v>14</v>
      </c>
      <c r="D264" t="s">
        <v>34</v>
      </c>
      <c r="E264" s="2">
        <f>Table1[[#This Row],[Quantity_Sold]] * Table1[[#This Row],[Unit_Price]] * (1 - (Table1[[#This Row],[Discount]] / 100))</f>
        <v>155544.36396800002</v>
      </c>
      <c r="F264" s="2">
        <f>Table1[[#This Row],[Quantity_Sold]] * ((Table1[[#This Row],[Unit_Price]] * (1 - (Table1[[#This Row],[Discount]] / 100))) - Table1[[#This Row],[Unit_Cost]])</f>
        <v>17328.863967999998</v>
      </c>
      <c r="G264" s="3">
        <v>38</v>
      </c>
      <c r="H264" t="s">
        <v>29</v>
      </c>
      <c r="I264">
        <v>3637.25</v>
      </c>
      <c r="J264" s="2">
        <v>4096.96</v>
      </c>
      <c r="K264" t="s">
        <v>17</v>
      </c>
      <c r="L264" s="4">
        <v>0.09</v>
      </c>
      <c r="M264" t="s">
        <v>27</v>
      </c>
      <c r="N264" t="s">
        <v>19</v>
      </c>
      <c r="O264" t="s">
        <v>46</v>
      </c>
    </row>
    <row r="265" spans="1:15" x14ac:dyDescent="0.25">
      <c r="A265" s="3">
        <v>1090</v>
      </c>
      <c r="B265" s="1">
        <v>44951</v>
      </c>
      <c r="C265" t="s">
        <v>33</v>
      </c>
      <c r="D265" t="s">
        <v>25</v>
      </c>
      <c r="E265" s="2">
        <f>Table1[[#This Row],[Quantity_Sold]] * Table1[[#This Row],[Unit_Price]] * (1 - (Table1[[#This Row],[Discount]] / 100))</f>
        <v>78876.184860000008</v>
      </c>
      <c r="F265" s="2">
        <f>Table1[[#This Row],[Quantity_Sold]] * ((Table1[[#This Row],[Unit_Price]] * (1 - (Table1[[#This Row],[Discount]] / 100))) - Table1[[#This Row],[Unit_Cost]])</f>
        <v>7641.7648600000039</v>
      </c>
      <c r="G265" s="3">
        <v>17</v>
      </c>
      <c r="H265" t="s">
        <v>29</v>
      </c>
      <c r="I265">
        <v>4190.26</v>
      </c>
      <c r="J265" s="2">
        <v>4645.3500000000004</v>
      </c>
      <c r="K265" t="s">
        <v>30</v>
      </c>
      <c r="L265" s="4">
        <v>0.12</v>
      </c>
      <c r="M265" t="s">
        <v>31</v>
      </c>
      <c r="N265" t="s">
        <v>22</v>
      </c>
      <c r="O265" t="s">
        <v>44</v>
      </c>
    </row>
    <row r="266" spans="1:15" x14ac:dyDescent="0.25">
      <c r="A266" s="3">
        <v>1067</v>
      </c>
      <c r="B266" s="1">
        <v>45106</v>
      </c>
      <c r="C266" t="s">
        <v>38</v>
      </c>
      <c r="D266" t="s">
        <v>25</v>
      </c>
      <c r="E266" s="2">
        <f>Table1[[#This Row],[Quantity_Sold]] * Table1[[#This Row],[Unit_Price]] * (1 - (Table1[[#This Row],[Discount]] / 100))</f>
        <v>221804.85311999955</v>
      </c>
      <c r="F266" s="2">
        <f>Table1[[#This Row],[Quantity_Sold]] * ((Table1[[#This Row],[Unit_Price]] * (1 - (Table1[[#This Row],[Discount]] / 100))) - Table1[[#This Row],[Unit_Cost]])</f>
        <v>14477.493119999534</v>
      </c>
      <c r="G266" s="3">
        <v>48</v>
      </c>
      <c r="H266" t="s">
        <v>26</v>
      </c>
      <c r="I266">
        <v>4319.32</v>
      </c>
      <c r="J266" s="2">
        <v>4625.5599999999904</v>
      </c>
      <c r="K266" t="s">
        <v>17</v>
      </c>
      <c r="L266" s="4">
        <v>0.1</v>
      </c>
      <c r="M266" t="s">
        <v>27</v>
      </c>
      <c r="N266" t="s">
        <v>19</v>
      </c>
      <c r="O266" t="s">
        <v>39</v>
      </c>
    </row>
    <row r="267" spans="1:15" x14ac:dyDescent="0.25">
      <c r="A267" s="3">
        <v>1019</v>
      </c>
      <c r="B267" s="1">
        <v>45124</v>
      </c>
      <c r="C267" t="s">
        <v>24</v>
      </c>
      <c r="D267" t="s">
        <v>25</v>
      </c>
      <c r="E267" s="2">
        <f>Table1[[#This Row],[Quantity_Sold]] * Table1[[#This Row],[Unit_Price]] * (1 - (Table1[[#This Row],[Discount]] / 100))</f>
        <v>26293.162349999999</v>
      </c>
      <c r="F267" s="2">
        <f>Table1[[#This Row],[Quantity_Sold]] * ((Table1[[#This Row],[Unit_Price]] * (1 - (Table1[[#This Row],[Discount]] / 100))) - Table1[[#This Row],[Unit_Cost]])</f>
        <v>3694.5023500000011</v>
      </c>
      <c r="G267" s="3">
        <v>14</v>
      </c>
      <c r="H267" t="s">
        <v>29</v>
      </c>
      <c r="I267">
        <v>1614.19</v>
      </c>
      <c r="J267" s="2">
        <v>1882.79</v>
      </c>
      <c r="K267" t="s">
        <v>30</v>
      </c>
      <c r="L267" s="4">
        <v>0.25</v>
      </c>
      <c r="M267" t="s">
        <v>31</v>
      </c>
      <c r="N267" t="s">
        <v>22</v>
      </c>
      <c r="O267" t="s">
        <v>28</v>
      </c>
    </row>
    <row r="268" spans="1:15" x14ac:dyDescent="0.25">
      <c r="A268" s="3">
        <v>1020</v>
      </c>
      <c r="B268" s="1">
        <v>45270</v>
      </c>
      <c r="C268" t="s">
        <v>14</v>
      </c>
      <c r="D268" t="s">
        <v>15</v>
      </c>
      <c r="E268" s="2">
        <f>Table1[[#This Row],[Quantity_Sold]] * Table1[[#This Row],[Unit_Price]] * (1 - (Table1[[#This Row],[Discount]] / 100))</f>
        <v>204658.14239999955</v>
      </c>
      <c r="F268" s="2">
        <f>Table1[[#This Row],[Quantity_Sold]] * ((Table1[[#This Row],[Unit_Price]] * (1 - (Table1[[#This Row],[Discount]] / 100))) - Table1[[#This Row],[Unit_Cost]])</f>
        <v>12577.892399999582</v>
      </c>
      <c r="G268" s="3">
        <v>45</v>
      </c>
      <c r="H268" t="s">
        <v>35</v>
      </c>
      <c r="I268">
        <v>4268.45</v>
      </c>
      <c r="J268" s="2">
        <v>4551.5999999999904</v>
      </c>
      <c r="K268" t="s">
        <v>30</v>
      </c>
      <c r="L268" s="4">
        <v>0.08</v>
      </c>
      <c r="M268" t="s">
        <v>27</v>
      </c>
      <c r="N268" t="s">
        <v>19</v>
      </c>
      <c r="O268" t="s">
        <v>20</v>
      </c>
    </row>
    <row r="269" spans="1:15" x14ac:dyDescent="0.25">
      <c r="A269" s="3">
        <v>1096</v>
      </c>
      <c r="B269" s="1">
        <v>45087</v>
      </c>
      <c r="C269" t="s">
        <v>33</v>
      </c>
      <c r="D269" t="s">
        <v>25</v>
      </c>
      <c r="E269" s="2">
        <f>Table1[[#This Row],[Quantity_Sold]] * Table1[[#This Row],[Unit_Price]] * (1 - (Table1[[#This Row],[Discount]] / 100))</f>
        <v>4442.2056000000002</v>
      </c>
      <c r="F269" s="2">
        <f>Table1[[#This Row],[Quantity_Sold]] * ((Table1[[#This Row],[Unit_Price]] * (1 - (Table1[[#This Row],[Discount]] / 100))) - Table1[[#This Row],[Unit_Cost]])</f>
        <v>2926.4856</v>
      </c>
      <c r="G269" s="3">
        <v>6</v>
      </c>
      <c r="H269" t="s">
        <v>16</v>
      </c>
      <c r="I269">
        <v>252.62</v>
      </c>
      <c r="J269" s="2">
        <v>742</v>
      </c>
      <c r="K269" t="s">
        <v>30</v>
      </c>
      <c r="L269" s="4">
        <v>0.22</v>
      </c>
      <c r="M269" t="s">
        <v>31</v>
      </c>
      <c r="N269" t="s">
        <v>22</v>
      </c>
      <c r="O269" t="s">
        <v>44</v>
      </c>
    </row>
    <row r="270" spans="1:15" x14ac:dyDescent="0.25">
      <c r="A270" s="3">
        <v>1071</v>
      </c>
      <c r="B270" s="1">
        <v>45103</v>
      </c>
      <c r="C270" t="s">
        <v>24</v>
      </c>
      <c r="D270" t="s">
        <v>15</v>
      </c>
      <c r="E270" s="2">
        <f>Table1[[#This Row],[Quantity_Sold]] * Table1[[#This Row],[Unit_Price]] * (1 - (Table1[[#This Row],[Discount]] / 100))</f>
        <v>23956.260964999998</v>
      </c>
      <c r="F270" s="2">
        <f>Table1[[#This Row],[Quantity_Sold]] * ((Table1[[#This Row],[Unit_Price]] * (1 - (Table1[[#This Row],[Discount]] / 100))) - Table1[[#This Row],[Unit_Cost]])</f>
        <v>13602.560965000001</v>
      </c>
      <c r="G270" s="3">
        <v>35</v>
      </c>
      <c r="H270" t="s">
        <v>29</v>
      </c>
      <c r="I270">
        <v>295.82</v>
      </c>
      <c r="J270" s="2">
        <v>684.67</v>
      </c>
      <c r="K270" t="s">
        <v>30</v>
      </c>
      <c r="L270" s="4">
        <v>0.03</v>
      </c>
      <c r="M270" t="s">
        <v>31</v>
      </c>
      <c r="N270" t="s">
        <v>19</v>
      </c>
      <c r="O270" t="s">
        <v>45</v>
      </c>
    </row>
    <row r="271" spans="1:15" x14ac:dyDescent="0.25">
      <c r="A271" s="3">
        <v>1052</v>
      </c>
      <c r="B271" s="1">
        <v>45211</v>
      </c>
      <c r="C271" t="s">
        <v>24</v>
      </c>
      <c r="D271" t="s">
        <v>15</v>
      </c>
      <c r="E271" s="2">
        <f>Table1[[#This Row],[Quantity_Sold]] * Table1[[#This Row],[Unit_Price]] * (1 - (Table1[[#This Row],[Discount]] / 100))</f>
        <v>146703.86143399999</v>
      </c>
      <c r="F271" s="2">
        <f>Table1[[#This Row],[Quantity_Sold]] * ((Table1[[#This Row],[Unit_Price]] * (1 - (Table1[[#This Row],[Discount]] / 100))) - Table1[[#This Row],[Unit_Cost]])</f>
        <v>2428.5414339999761</v>
      </c>
      <c r="G271" s="3">
        <v>46</v>
      </c>
      <c r="H271" t="s">
        <v>35</v>
      </c>
      <c r="I271">
        <v>3136.42</v>
      </c>
      <c r="J271" s="2">
        <v>3198.49</v>
      </c>
      <c r="K271" t="s">
        <v>17</v>
      </c>
      <c r="L271" s="4">
        <v>0.28999999999999998</v>
      </c>
      <c r="M271" t="s">
        <v>18</v>
      </c>
      <c r="N271" t="s">
        <v>22</v>
      </c>
      <c r="O271" t="s">
        <v>45</v>
      </c>
    </row>
    <row r="272" spans="1:15" x14ac:dyDescent="0.25">
      <c r="A272" s="3">
        <v>1033</v>
      </c>
      <c r="B272" s="1">
        <v>44989</v>
      </c>
      <c r="C272" t="s">
        <v>14</v>
      </c>
      <c r="D272" t="s">
        <v>21</v>
      </c>
      <c r="E272" s="2">
        <f>Table1[[#This Row],[Quantity_Sold]] * Table1[[#This Row],[Unit_Price]] * (1 - (Table1[[#This Row],[Discount]] / 100))</f>
        <v>10533.288654</v>
      </c>
      <c r="F272" s="2">
        <f>Table1[[#This Row],[Quantity_Sold]] * ((Table1[[#This Row],[Unit_Price]] * (1 - (Table1[[#This Row],[Discount]] / 100))) - Table1[[#This Row],[Unit_Cost]])</f>
        <v>5459.9686539999993</v>
      </c>
      <c r="G272" s="3">
        <v>14</v>
      </c>
      <c r="H272" t="s">
        <v>29</v>
      </c>
      <c r="I272">
        <v>362.38</v>
      </c>
      <c r="J272" s="2">
        <v>753.81</v>
      </c>
      <c r="K272" t="s">
        <v>17</v>
      </c>
      <c r="L272" s="4">
        <v>0.19</v>
      </c>
      <c r="M272" t="s">
        <v>18</v>
      </c>
      <c r="N272" t="s">
        <v>22</v>
      </c>
      <c r="O272" t="s">
        <v>23</v>
      </c>
    </row>
    <row r="273" spans="1:15" x14ac:dyDescent="0.25">
      <c r="A273" s="3">
        <v>1040</v>
      </c>
      <c r="B273" s="1">
        <v>45076</v>
      </c>
      <c r="C273" t="s">
        <v>42</v>
      </c>
      <c r="D273" t="s">
        <v>25</v>
      </c>
      <c r="E273" s="2">
        <f>Table1[[#This Row],[Quantity_Sold]] * Table1[[#This Row],[Unit_Price]] * (1 - (Table1[[#This Row],[Discount]] / 100))</f>
        <v>82095.097493999536</v>
      </c>
      <c r="F273" s="2">
        <f>Table1[[#This Row],[Quantity_Sold]] * ((Table1[[#This Row],[Unit_Price]] * (1 - (Table1[[#This Row],[Discount]] / 100))) - Table1[[#This Row],[Unit_Cost]])</f>
        <v>4224.5574939995386</v>
      </c>
      <c r="G273" s="3">
        <v>47</v>
      </c>
      <c r="H273" t="s">
        <v>29</v>
      </c>
      <c r="I273">
        <v>1656.82</v>
      </c>
      <c r="J273" s="2">
        <v>1750.3799999999901</v>
      </c>
      <c r="K273" t="s">
        <v>30</v>
      </c>
      <c r="L273" s="4">
        <v>0.21</v>
      </c>
      <c r="M273" t="s">
        <v>31</v>
      </c>
      <c r="N273" t="s">
        <v>19</v>
      </c>
      <c r="O273" t="s">
        <v>43</v>
      </c>
    </row>
    <row r="274" spans="1:15" x14ac:dyDescent="0.25">
      <c r="A274" s="3">
        <v>1039</v>
      </c>
      <c r="B274" s="1">
        <v>45080</v>
      </c>
      <c r="C274" t="s">
        <v>14</v>
      </c>
      <c r="D274" t="s">
        <v>25</v>
      </c>
      <c r="E274" s="2">
        <f>Table1[[#This Row],[Quantity_Sold]] * Table1[[#This Row],[Unit_Price]] * (1 - (Table1[[#This Row],[Discount]] / 100))</f>
        <v>28848.73275199992</v>
      </c>
      <c r="F274" s="2">
        <f>Table1[[#This Row],[Quantity_Sold]] * ((Table1[[#This Row],[Unit_Price]] * (1 - (Table1[[#This Row],[Discount]] / 100))) - Table1[[#This Row],[Unit_Cost]])</f>
        <v>1807.6127519999209</v>
      </c>
      <c r="G274" s="3">
        <v>8</v>
      </c>
      <c r="H274" t="s">
        <v>29</v>
      </c>
      <c r="I274">
        <v>3380.14</v>
      </c>
      <c r="J274" s="2">
        <v>3609.3399999999901</v>
      </c>
      <c r="K274" t="s">
        <v>17</v>
      </c>
      <c r="L274" s="4">
        <v>0.09</v>
      </c>
      <c r="M274" t="s">
        <v>31</v>
      </c>
      <c r="N274" t="s">
        <v>19</v>
      </c>
      <c r="O274" t="s">
        <v>32</v>
      </c>
    </row>
    <row r="275" spans="1:15" x14ac:dyDescent="0.25">
      <c r="A275" s="3">
        <v>1082</v>
      </c>
      <c r="B275" s="1">
        <v>45082</v>
      </c>
      <c r="C275" t="s">
        <v>33</v>
      </c>
      <c r="D275" t="s">
        <v>34</v>
      </c>
      <c r="E275" s="2">
        <f>Table1[[#This Row],[Quantity_Sold]] * Table1[[#This Row],[Unit_Price]] * (1 - (Table1[[#This Row],[Discount]] / 100))</f>
        <v>27456.013200000001</v>
      </c>
      <c r="F275" s="2">
        <f>Table1[[#This Row],[Quantity_Sold]] * ((Table1[[#This Row],[Unit_Price]] * (1 - (Table1[[#This Row],[Discount]] / 100))) - Table1[[#This Row],[Unit_Cost]])</f>
        <v>1663.9631999999983</v>
      </c>
      <c r="G275" s="3">
        <v>15</v>
      </c>
      <c r="H275" t="s">
        <v>29</v>
      </c>
      <c r="I275">
        <v>1719.47</v>
      </c>
      <c r="J275" s="2">
        <v>1832.6</v>
      </c>
      <c r="K275" t="s">
        <v>17</v>
      </c>
      <c r="L275" s="4">
        <v>0.12</v>
      </c>
      <c r="M275" t="s">
        <v>31</v>
      </c>
      <c r="N275" t="s">
        <v>19</v>
      </c>
      <c r="O275" t="s">
        <v>36</v>
      </c>
    </row>
    <row r="276" spans="1:15" x14ac:dyDescent="0.25">
      <c r="A276" s="3">
        <v>1001</v>
      </c>
      <c r="B276" s="1">
        <v>44975</v>
      </c>
      <c r="C276" t="s">
        <v>24</v>
      </c>
      <c r="D276" t="s">
        <v>21</v>
      </c>
      <c r="E276" s="2">
        <f>Table1[[#This Row],[Quantity_Sold]] * Table1[[#This Row],[Unit_Price]] * (1 - (Table1[[#This Row],[Discount]] / 100))</f>
        <v>34722.517212000006</v>
      </c>
      <c r="F276" s="2">
        <f>Table1[[#This Row],[Quantity_Sold]] * ((Table1[[#This Row],[Unit_Price]] * (1 - (Table1[[#This Row],[Discount]] / 100))) - Table1[[#This Row],[Unit_Cost]])</f>
        <v>9368.9772120000016</v>
      </c>
      <c r="G276" s="3">
        <v>27</v>
      </c>
      <c r="H276" t="s">
        <v>29</v>
      </c>
      <c r="I276">
        <v>939.02</v>
      </c>
      <c r="J276" s="2">
        <v>1286.92</v>
      </c>
      <c r="K276" t="s">
        <v>17</v>
      </c>
      <c r="L276" s="4">
        <v>7.0000000000000007E-2</v>
      </c>
      <c r="M276" t="s">
        <v>31</v>
      </c>
      <c r="N276" t="s">
        <v>22</v>
      </c>
      <c r="O276" t="s">
        <v>47</v>
      </c>
    </row>
    <row r="277" spans="1:15" x14ac:dyDescent="0.25">
      <c r="A277" s="3">
        <v>1011</v>
      </c>
      <c r="B277" s="1">
        <v>45263</v>
      </c>
      <c r="C277" t="s">
        <v>14</v>
      </c>
      <c r="D277" t="s">
        <v>34</v>
      </c>
      <c r="E277" s="2">
        <f>Table1[[#This Row],[Quantity_Sold]] * Table1[[#This Row],[Unit_Price]] * (1 - (Table1[[#This Row],[Discount]] / 100))</f>
        <v>24404.884451999998</v>
      </c>
      <c r="F277" s="2">
        <f>Table1[[#This Row],[Quantity_Sold]] * ((Table1[[#This Row],[Unit_Price]] * (1 - (Table1[[#This Row],[Discount]] / 100))) - Table1[[#This Row],[Unit_Cost]])</f>
        <v>5649.9144519999963</v>
      </c>
      <c r="G277" s="3">
        <v>13</v>
      </c>
      <c r="H277" t="s">
        <v>35</v>
      </c>
      <c r="I277">
        <v>1442.69</v>
      </c>
      <c r="J277" s="2">
        <v>1882.57</v>
      </c>
      <c r="K277" t="s">
        <v>17</v>
      </c>
      <c r="L277" s="4">
        <v>0.28000000000000003</v>
      </c>
      <c r="M277" t="s">
        <v>18</v>
      </c>
      <c r="N277" t="s">
        <v>19</v>
      </c>
      <c r="O277" t="s">
        <v>46</v>
      </c>
    </row>
    <row r="278" spans="1:15" x14ac:dyDescent="0.25">
      <c r="A278" s="3">
        <v>1092</v>
      </c>
      <c r="B278" s="1">
        <v>45010</v>
      </c>
      <c r="C278" t="s">
        <v>42</v>
      </c>
      <c r="D278" t="s">
        <v>21</v>
      </c>
      <c r="E278" s="2">
        <f>Table1[[#This Row],[Quantity_Sold]] * Table1[[#This Row],[Unit_Price]] * (1 - (Table1[[#This Row],[Discount]] / 100))</f>
        <v>120715.37492000002</v>
      </c>
      <c r="F278" s="2">
        <f>Table1[[#This Row],[Quantity_Sold]] * ((Table1[[#This Row],[Unit_Price]] * (1 - (Table1[[#This Row],[Discount]] / 100))) - Table1[[#This Row],[Unit_Cost]])</f>
        <v>7280.3749200000211</v>
      </c>
      <c r="G278" s="3">
        <v>49</v>
      </c>
      <c r="H278" t="s">
        <v>16</v>
      </c>
      <c r="I278">
        <v>2315</v>
      </c>
      <c r="J278" s="2">
        <v>2467.2800000000002</v>
      </c>
      <c r="K278" t="s">
        <v>30</v>
      </c>
      <c r="L278" s="4">
        <v>0.15</v>
      </c>
      <c r="M278" t="s">
        <v>27</v>
      </c>
      <c r="N278" t="s">
        <v>22</v>
      </c>
      <c r="O278" t="s">
        <v>51</v>
      </c>
    </row>
    <row r="279" spans="1:15" x14ac:dyDescent="0.25">
      <c r="A279" s="3">
        <v>1057</v>
      </c>
      <c r="B279" s="1">
        <v>45287</v>
      </c>
      <c r="C279" t="s">
        <v>14</v>
      </c>
      <c r="D279" t="s">
        <v>25</v>
      </c>
      <c r="E279" s="2">
        <f>Table1[[#This Row],[Quantity_Sold]] * Table1[[#This Row],[Unit_Price]] * (1 - (Table1[[#This Row],[Discount]] / 100))</f>
        <v>75909.347684999986</v>
      </c>
      <c r="F279" s="2">
        <f>Table1[[#This Row],[Quantity_Sold]] * ((Table1[[#This Row],[Unit_Price]] * (1 - (Table1[[#This Row],[Discount]] / 100))) - Table1[[#This Row],[Unit_Cost]])</f>
        <v>1411.3876850000038</v>
      </c>
      <c r="G279" s="3">
        <v>31</v>
      </c>
      <c r="H279" t="s">
        <v>16</v>
      </c>
      <c r="I279">
        <v>2403.16</v>
      </c>
      <c r="J279" s="2">
        <v>2453.35</v>
      </c>
      <c r="K279" t="s">
        <v>17</v>
      </c>
      <c r="L279" s="4">
        <v>0.19</v>
      </c>
      <c r="M279" t="s">
        <v>31</v>
      </c>
      <c r="N279" t="s">
        <v>19</v>
      </c>
      <c r="O279" t="s">
        <v>32</v>
      </c>
    </row>
    <row r="280" spans="1:15" x14ac:dyDescent="0.25">
      <c r="A280" s="3">
        <v>1089</v>
      </c>
      <c r="B280" s="1">
        <v>45103</v>
      </c>
      <c r="C280" t="s">
        <v>38</v>
      </c>
      <c r="D280" t="s">
        <v>15</v>
      </c>
      <c r="E280" s="2">
        <f>Table1[[#This Row],[Quantity_Sold]] * Table1[[#This Row],[Unit_Price]] * (1 - (Table1[[#This Row],[Discount]] / 100))</f>
        <v>142559.52752999967</v>
      </c>
      <c r="F280" s="2">
        <f>Table1[[#This Row],[Quantity_Sold]] * ((Table1[[#This Row],[Unit_Price]] * (1 - (Table1[[#This Row],[Discount]] / 100))) - Table1[[#This Row],[Unit_Cost]])</f>
        <v>5154.7775299996574</v>
      </c>
      <c r="G280" s="3">
        <v>35</v>
      </c>
      <c r="H280" t="s">
        <v>16</v>
      </c>
      <c r="I280">
        <v>3925.85</v>
      </c>
      <c r="J280" s="2">
        <v>4082.1099999999901</v>
      </c>
      <c r="K280" t="s">
        <v>30</v>
      </c>
      <c r="L280" s="4">
        <v>0.22</v>
      </c>
      <c r="M280" t="s">
        <v>18</v>
      </c>
      <c r="N280" t="s">
        <v>19</v>
      </c>
      <c r="O280" t="s">
        <v>40</v>
      </c>
    </row>
    <row r="281" spans="1:15" x14ac:dyDescent="0.25">
      <c r="A281" s="3">
        <v>1050</v>
      </c>
      <c r="B281" s="1">
        <v>45074</v>
      </c>
      <c r="C281" t="s">
        <v>42</v>
      </c>
      <c r="D281" t="s">
        <v>15</v>
      </c>
      <c r="E281" s="2">
        <f>Table1[[#This Row],[Quantity_Sold]] * Table1[[#This Row],[Unit_Price]] * (1 - (Table1[[#This Row],[Discount]] / 100))</f>
        <v>24589.242048</v>
      </c>
      <c r="F281" s="2">
        <f>Table1[[#This Row],[Quantity_Sold]] * ((Table1[[#This Row],[Unit_Price]] * (1 - (Table1[[#This Row],[Discount]] / 100))) - Table1[[#This Row],[Unit_Cost]])</f>
        <v>2009.6820480000006</v>
      </c>
      <c r="G281" s="3">
        <v>6</v>
      </c>
      <c r="H281" t="s">
        <v>16</v>
      </c>
      <c r="I281">
        <v>3763.26</v>
      </c>
      <c r="J281" s="2">
        <v>4102.72</v>
      </c>
      <c r="K281" t="s">
        <v>30</v>
      </c>
      <c r="L281" s="4">
        <v>0.11</v>
      </c>
      <c r="M281" t="s">
        <v>31</v>
      </c>
      <c r="N281" t="s">
        <v>22</v>
      </c>
      <c r="O281" t="s">
        <v>49</v>
      </c>
    </row>
    <row r="282" spans="1:15" x14ac:dyDescent="0.25">
      <c r="A282" s="3">
        <v>1023</v>
      </c>
      <c r="B282" s="1">
        <v>45044</v>
      </c>
      <c r="C282" t="s">
        <v>33</v>
      </c>
      <c r="D282" t="s">
        <v>15</v>
      </c>
      <c r="E282" s="2">
        <f>Table1[[#This Row],[Quantity_Sold]] * Table1[[#This Row],[Unit_Price]] * (1 - (Table1[[#This Row],[Discount]] / 100))</f>
        <v>12384.394260000001</v>
      </c>
      <c r="F282" s="2">
        <f>Table1[[#This Row],[Quantity_Sold]] * ((Table1[[#This Row],[Unit_Price]] * (1 - (Table1[[#This Row],[Discount]] / 100))) - Table1[[#This Row],[Unit_Cost]])</f>
        <v>828.1442600000014</v>
      </c>
      <c r="G282" s="3">
        <v>5</v>
      </c>
      <c r="H282" t="s">
        <v>35</v>
      </c>
      <c r="I282">
        <v>2311.25</v>
      </c>
      <c r="J282" s="2">
        <v>2482.34</v>
      </c>
      <c r="K282" t="s">
        <v>17</v>
      </c>
      <c r="L282" s="4">
        <v>0.22</v>
      </c>
      <c r="M282" t="s">
        <v>31</v>
      </c>
      <c r="N282" t="s">
        <v>22</v>
      </c>
      <c r="O282" t="s">
        <v>53</v>
      </c>
    </row>
    <row r="283" spans="1:15" x14ac:dyDescent="0.25">
      <c r="A283" s="3">
        <v>1031</v>
      </c>
      <c r="B283" s="1">
        <v>45268</v>
      </c>
      <c r="C283" t="s">
        <v>24</v>
      </c>
      <c r="D283" t="s">
        <v>15</v>
      </c>
      <c r="E283" s="2">
        <f>Table1[[#This Row],[Quantity_Sold]] * Table1[[#This Row],[Unit_Price]] * (1 - (Table1[[#This Row],[Discount]] / 100))</f>
        <v>96218.217919999996</v>
      </c>
      <c r="F283" s="2">
        <f>Table1[[#This Row],[Quantity_Sold]] * ((Table1[[#This Row],[Unit_Price]] * (1 - (Table1[[#This Row],[Discount]] / 100))) - Table1[[#This Row],[Unit_Cost]])</f>
        <v>3025.1179199999824</v>
      </c>
      <c r="G283" s="3">
        <v>22</v>
      </c>
      <c r="H283" t="s">
        <v>26</v>
      </c>
      <c r="I283">
        <v>4236.05</v>
      </c>
      <c r="J283" s="2">
        <v>4382.32</v>
      </c>
      <c r="K283" t="s">
        <v>30</v>
      </c>
      <c r="L283" s="4">
        <v>0.2</v>
      </c>
      <c r="M283" t="s">
        <v>27</v>
      </c>
      <c r="N283" t="s">
        <v>19</v>
      </c>
      <c r="O283" t="s">
        <v>45</v>
      </c>
    </row>
    <row r="284" spans="1:15" x14ac:dyDescent="0.25">
      <c r="A284" s="3">
        <v>1094</v>
      </c>
      <c r="B284" s="1">
        <v>44989</v>
      </c>
      <c r="C284" t="s">
        <v>14</v>
      </c>
      <c r="D284" t="s">
        <v>15</v>
      </c>
      <c r="E284" s="2">
        <f>Table1[[#This Row],[Quantity_Sold]] * Table1[[#This Row],[Unit_Price]] * (1 - (Table1[[#This Row],[Discount]] / 100))</f>
        <v>35002.500064000007</v>
      </c>
      <c r="F284" s="2">
        <f>Table1[[#This Row],[Quantity_Sold]] * ((Table1[[#This Row],[Unit_Price]] * (1 - (Table1[[#This Row],[Discount]] / 100))) - Table1[[#This Row],[Unit_Cost]])</f>
        <v>4844.4700640000028</v>
      </c>
      <c r="G284" s="3">
        <v>49</v>
      </c>
      <c r="H284" t="s">
        <v>26</v>
      </c>
      <c r="I284">
        <v>615.47</v>
      </c>
      <c r="J284" s="2">
        <v>715.84</v>
      </c>
      <c r="K284" t="s">
        <v>17</v>
      </c>
      <c r="L284" s="4">
        <v>0.21</v>
      </c>
      <c r="M284" t="s">
        <v>31</v>
      </c>
      <c r="N284" t="s">
        <v>22</v>
      </c>
      <c r="O284" t="s">
        <v>20</v>
      </c>
    </row>
    <row r="285" spans="1:15" x14ac:dyDescent="0.25">
      <c r="A285" s="3">
        <v>1042</v>
      </c>
      <c r="B285" s="1">
        <v>45115</v>
      </c>
      <c r="C285" t="s">
        <v>42</v>
      </c>
      <c r="D285" t="s">
        <v>34</v>
      </c>
      <c r="E285" s="2">
        <f>Table1[[#This Row],[Quantity_Sold]] * Table1[[#This Row],[Unit_Price]] * (1 - (Table1[[#This Row],[Discount]] / 100))</f>
        <v>36004.851590000006</v>
      </c>
      <c r="F285" s="2">
        <f>Table1[[#This Row],[Quantity_Sold]] * ((Table1[[#This Row],[Unit_Price]] * (1 - (Table1[[#This Row],[Discount]] / 100))) - Table1[[#This Row],[Unit_Cost]])</f>
        <v>5782.8515899999993</v>
      </c>
      <c r="G285" s="3">
        <v>23</v>
      </c>
      <c r="H285" t="s">
        <v>35</v>
      </c>
      <c r="I285">
        <v>1314</v>
      </c>
      <c r="J285" s="2">
        <v>1567.78</v>
      </c>
      <c r="K285" t="s">
        <v>17</v>
      </c>
      <c r="L285" s="4">
        <v>0.15</v>
      </c>
      <c r="M285" t="s">
        <v>31</v>
      </c>
      <c r="N285" t="s">
        <v>22</v>
      </c>
      <c r="O285" t="s">
        <v>52</v>
      </c>
    </row>
    <row r="286" spans="1:15" x14ac:dyDescent="0.25">
      <c r="A286" s="3">
        <v>1099</v>
      </c>
      <c r="B286" s="1">
        <v>45286</v>
      </c>
      <c r="C286" t="s">
        <v>38</v>
      </c>
      <c r="D286" t="s">
        <v>21</v>
      </c>
      <c r="E286" s="2">
        <f>Table1[[#This Row],[Quantity_Sold]] * Table1[[#This Row],[Unit_Price]] * (1 - (Table1[[#This Row],[Discount]] / 100))</f>
        <v>107224.17352499999</v>
      </c>
      <c r="F286" s="2">
        <f>Table1[[#This Row],[Quantity_Sold]] * ((Table1[[#This Row],[Unit_Price]] * (1 - (Table1[[#This Row],[Discount]] / 100))) - Table1[[#This Row],[Unit_Cost]])</f>
        <v>3512.1735250000029</v>
      </c>
      <c r="G286" s="3">
        <v>25</v>
      </c>
      <c r="H286" t="s">
        <v>35</v>
      </c>
      <c r="I286">
        <v>4148.4799999999996</v>
      </c>
      <c r="J286" s="2">
        <v>4293.6899999999996</v>
      </c>
      <c r="K286" t="s">
        <v>30</v>
      </c>
      <c r="L286" s="4">
        <v>0.11</v>
      </c>
      <c r="M286" t="s">
        <v>27</v>
      </c>
      <c r="N286" t="s">
        <v>19</v>
      </c>
      <c r="O286" t="s">
        <v>41</v>
      </c>
    </row>
    <row r="287" spans="1:15" x14ac:dyDescent="0.25">
      <c r="A287" s="3">
        <v>1007</v>
      </c>
      <c r="B287" s="1">
        <v>44975</v>
      </c>
      <c r="C287" t="s">
        <v>42</v>
      </c>
      <c r="D287" t="s">
        <v>25</v>
      </c>
      <c r="E287" s="2">
        <f>Table1[[#This Row],[Quantity_Sold]] * Table1[[#This Row],[Unit_Price]] * (1 - (Table1[[#This Row],[Discount]] / 100))</f>
        <v>77780.695373999988</v>
      </c>
      <c r="F287" s="2">
        <f>Table1[[#This Row],[Quantity_Sold]] * ((Table1[[#This Row],[Unit_Price]] * (1 - (Table1[[#This Row],[Discount]] / 100))) - Table1[[#This Row],[Unit_Cost]])</f>
        <v>12464.315374000005</v>
      </c>
      <c r="G287" s="3">
        <v>34</v>
      </c>
      <c r="H287" t="s">
        <v>29</v>
      </c>
      <c r="I287">
        <v>1921.07</v>
      </c>
      <c r="J287" s="2">
        <v>2289.27</v>
      </c>
      <c r="K287" t="s">
        <v>17</v>
      </c>
      <c r="L287" s="4">
        <v>7.0000000000000007E-2</v>
      </c>
      <c r="M287" t="s">
        <v>27</v>
      </c>
      <c r="N287" t="s">
        <v>22</v>
      </c>
      <c r="O287" t="s">
        <v>43</v>
      </c>
    </row>
    <row r="288" spans="1:15" x14ac:dyDescent="0.25">
      <c r="A288" s="3">
        <v>1016</v>
      </c>
      <c r="B288" s="1">
        <v>45253</v>
      </c>
      <c r="C288" t="s">
        <v>38</v>
      </c>
      <c r="D288" t="s">
        <v>34</v>
      </c>
      <c r="E288" s="2">
        <f>Table1[[#This Row],[Quantity_Sold]] * Table1[[#This Row],[Unit_Price]] * (1 - (Table1[[#This Row],[Discount]] / 100))</f>
        <v>128492.10465000002</v>
      </c>
      <c r="F288" s="2">
        <f>Table1[[#This Row],[Quantity_Sold]] * ((Table1[[#This Row],[Unit_Price]] * (1 - (Table1[[#This Row],[Discount]] / 100))) - Table1[[#This Row],[Unit_Cost]])</f>
        <v>914.00464999999531</v>
      </c>
      <c r="G288" s="3">
        <v>26</v>
      </c>
      <c r="H288" t="s">
        <v>29</v>
      </c>
      <c r="I288">
        <v>4906.8500000000004</v>
      </c>
      <c r="J288" s="2">
        <v>4954.3900000000003</v>
      </c>
      <c r="K288" t="s">
        <v>30</v>
      </c>
      <c r="L288" s="4">
        <v>0.25</v>
      </c>
      <c r="M288" t="s">
        <v>27</v>
      </c>
      <c r="N288" t="s">
        <v>19</v>
      </c>
      <c r="O288" t="s">
        <v>48</v>
      </c>
    </row>
    <row r="289" spans="1:15" x14ac:dyDescent="0.25">
      <c r="A289" s="3">
        <v>1090</v>
      </c>
      <c r="B289" s="1">
        <v>45183</v>
      </c>
      <c r="C289" t="s">
        <v>33</v>
      </c>
      <c r="D289" t="s">
        <v>21</v>
      </c>
      <c r="E289" s="2">
        <f>Table1[[#This Row],[Quantity_Sold]] * Table1[[#This Row],[Unit_Price]] * (1 - (Table1[[#This Row],[Discount]] / 100))</f>
        <v>126358.65428199999</v>
      </c>
      <c r="F289" s="2">
        <f>Table1[[#This Row],[Quantity_Sold]] * ((Table1[[#This Row],[Unit_Price]] * (1 - (Table1[[#This Row],[Discount]] / 100))) - Table1[[#This Row],[Unit_Cost]])</f>
        <v>15535.004281999996</v>
      </c>
      <c r="G289" s="3">
        <v>47</v>
      </c>
      <c r="H289" t="s">
        <v>29</v>
      </c>
      <c r="I289">
        <v>2357.9499999999998</v>
      </c>
      <c r="J289" s="2">
        <v>2693.33</v>
      </c>
      <c r="K289" t="s">
        <v>30</v>
      </c>
      <c r="L289" s="4">
        <v>0.18</v>
      </c>
      <c r="M289" t="s">
        <v>27</v>
      </c>
      <c r="N289" t="s">
        <v>19</v>
      </c>
      <c r="O289" t="s">
        <v>37</v>
      </c>
    </row>
    <row r="290" spans="1:15" x14ac:dyDescent="0.25">
      <c r="A290" s="3">
        <v>1060</v>
      </c>
      <c r="B290" s="1">
        <v>45150</v>
      </c>
      <c r="C290" t="s">
        <v>24</v>
      </c>
      <c r="D290" t="s">
        <v>15</v>
      </c>
      <c r="E290" s="2">
        <f>Table1[[#This Row],[Quantity_Sold]] * Table1[[#This Row],[Unit_Price]] * (1 - (Table1[[#This Row],[Discount]] / 100))</f>
        <v>20455.772879999997</v>
      </c>
      <c r="F290" s="2">
        <f>Table1[[#This Row],[Quantity_Sold]] * ((Table1[[#This Row],[Unit_Price]] * (1 - (Table1[[#This Row],[Discount]] / 100))) - Table1[[#This Row],[Unit_Cost]])</f>
        <v>605.3728799999999</v>
      </c>
      <c r="G290" s="3">
        <v>5</v>
      </c>
      <c r="H290" t="s">
        <v>16</v>
      </c>
      <c r="I290">
        <v>3970.08</v>
      </c>
      <c r="J290" s="2">
        <v>4096.4799999999996</v>
      </c>
      <c r="K290" t="s">
        <v>17</v>
      </c>
      <c r="L290" s="4">
        <v>0.13</v>
      </c>
      <c r="M290" t="s">
        <v>18</v>
      </c>
      <c r="N290" t="s">
        <v>22</v>
      </c>
      <c r="O290" t="s">
        <v>45</v>
      </c>
    </row>
    <row r="291" spans="1:15" x14ac:dyDescent="0.25">
      <c r="A291" s="3">
        <v>1002</v>
      </c>
      <c r="B291" s="1">
        <v>45067</v>
      </c>
      <c r="C291" t="s">
        <v>33</v>
      </c>
      <c r="D291" t="s">
        <v>21</v>
      </c>
      <c r="E291" s="2">
        <f>Table1[[#This Row],[Quantity_Sold]] * Table1[[#This Row],[Unit_Price]] * (1 - (Table1[[#This Row],[Discount]] / 100))</f>
        <v>59403.622823999998</v>
      </c>
      <c r="F291" s="2">
        <f>Table1[[#This Row],[Quantity_Sold]] * ((Table1[[#This Row],[Unit_Price]] * (1 - (Table1[[#This Row],[Discount]] / 100))) - Table1[[#This Row],[Unit_Cost]])</f>
        <v>6326.7028239999954</v>
      </c>
      <c r="G291" s="3">
        <v>26</v>
      </c>
      <c r="H291" t="s">
        <v>29</v>
      </c>
      <c r="I291">
        <v>2041.42</v>
      </c>
      <c r="J291" s="2">
        <v>2291.17</v>
      </c>
      <c r="K291" t="s">
        <v>17</v>
      </c>
      <c r="L291" s="4">
        <v>0.28000000000000003</v>
      </c>
      <c r="M291" t="s">
        <v>18</v>
      </c>
      <c r="N291" t="s">
        <v>19</v>
      </c>
      <c r="O291" t="s">
        <v>37</v>
      </c>
    </row>
    <row r="292" spans="1:15" x14ac:dyDescent="0.25">
      <c r="A292" s="3">
        <v>1001</v>
      </c>
      <c r="B292" s="1">
        <v>45141</v>
      </c>
      <c r="C292" t="s">
        <v>14</v>
      </c>
      <c r="D292" t="s">
        <v>21</v>
      </c>
      <c r="E292" s="2">
        <f>Table1[[#This Row],[Quantity_Sold]] * Table1[[#This Row],[Unit_Price]] * (1 - (Table1[[#This Row],[Discount]] / 100))</f>
        <v>46069.392599999999</v>
      </c>
      <c r="F292" s="2">
        <f>Table1[[#This Row],[Quantity_Sold]] * ((Table1[[#This Row],[Unit_Price]] * (1 - (Table1[[#This Row],[Discount]] / 100))) - Table1[[#This Row],[Unit_Cost]])</f>
        <v>2998.9926000000014</v>
      </c>
      <c r="G292" s="3">
        <v>20</v>
      </c>
      <c r="H292" t="s">
        <v>26</v>
      </c>
      <c r="I292">
        <v>2153.52</v>
      </c>
      <c r="J292" s="2">
        <v>2303.6999999999998</v>
      </c>
      <c r="K292" t="s">
        <v>17</v>
      </c>
      <c r="L292" s="4">
        <v>0.01</v>
      </c>
      <c r="M292" t="s">
        <v>18</v>
      </c>
      <c r="N292" t="s">
        <v>22</v>
      </c>
      <c r="O292" t="s">
        <v>23</v>
      </c>
    </row>
    <row r="293" spans="1:15" x14ac:dyDescent="0.25">
      <c r="A293" s="3">
        <v>1048</v>
      </c>
      <c r="B293" s="1">
        <v>45137</v>
      </c>
      <c r="C293" t="s">
        <v>42</v>
      </c>
      <c r="D293" t="s">
        <v>15</v>
      </c>
      <c r="E293" s="2">
        <f>Table1[[#This Row],[Quantity_Sold]] * Table1[[#This Row],[Unit_Price]] * (1 - (Table1[[#This Row],[Discount]] / 100))</f>
        <v>13820.552891999998</v>
      </c>
      <c r="F293" s="2">
        <f>Table1[[#This Row],[Quantity_Sold]] * ((Table1[[#This Row],[Unit_Price]] * (1 - (Table1[[#This Row],[Discount]] / 100))) - Table1[[#This Row],[Unit_Cost]])</f>
        <v>2148.932891999998</v>
      </c>
      <c r="G293" s="3">
        <v>6</v>
      </c>
      <c r="H293" t="s">
        <v>16</v>
      </c>
      <c r="I293">
        <v>1945.27</v>
      </c>
      <c r="J293" s="2">
        <v>2309.4299999999998</v>
      </c>
      <c r="K293" t="s">
        <v>30</v>
      </c>
      <c r="L293" s="4">
        <v>0.26</v>
      </c>
      <c r="M293" t="s">
        <v>31</v>
      </c>
      <c r="N293" t="s">
        <v>19</v>
      </c>
      <c r="O293" t="s">
        <v>49</v>
      </c>
    </row>
    <row r="294" spans="1:15" x14ac:dyDescent="0.25">
      <c r="A294" s="3">
        <v>1012</v>
      </c>
      <c r="B294" s="1">
        <v>45244</v>
      </c>
      <c r="C294" t="s">
        <v>38</v>
      </c>
      <c r="D294" t="s">
        <v>15</v>
      </c>
      <c r="E294" s="2">
        <f>Table1[[#This Row],[Quantity_Sold]] * Table1[[#This Row],[Unit_Price]] * (1 - (Table1[[#This Row],[Discount]] / 100))</f>
        <v>24422.232840000001</v>
      </c>
      <c r="F294" s="2">
        <f>Table1[[#This Row],[Quantity_Sold]] * ((Table1[[#This Row],[Unit_Price]] * (1 - (Table1[[#This Row],[Discount]] / 100))) - Table1[[#This Row],[Unit_Cost]])</f>
        <v>2765.7128399999992</v>
      </c>
      <c r="G294" s="3">
        <v>6</v>
      </c>
      <c r="H294" t="s">
        <v>29</v>
      </c>
      <c r="I294">
        <v>3609.42</v>
      </c>
      <c r="J294" s="2">
        <v>4082.62</v>
      </c>
      <c r="K294" t="s">
        <v>17</v>
      </c>
      <c r="L294" s="4">
        <v>0.3</v>
      </c>
      <c r="M294" t="s">
        <v>27</v>
      </c>
      <c r="N294" t="s">
        <v>22</v>
      </c>
      <c r="O294" t="s">
        <v>40</v>
      </c>
    </row>
    <row r="295" spans="1:15" x14ac:dyDescent="0.25">
      <c r="A295" s="3">
        <v>1069</v>
      </c>
      <c r="B295" s="1">
        <v>44958</v>
      </c>
      <c r="C295" t="s">
        <v>38</v>
      </c>
      <c r="D295" t="s">
        <v>15</v>
      </c>
      <c r="E295" s="2">
        <f>Table1[[#This Row],[Quantity_Sold]] * Table1[[#This Row],[Unit_Price]] * (1 - (Table1[[#This Row],[Discount]] / 100))</f>
        <v>57795.968412000002</v>
      </c>
      <c r="F295" s="2">
        <f>Table1[[#This Row],[Quantity_Sold]] * ((Table1[[#This Row],[Unit_Price]] * (1 - (Table1[[#This Row],[Discount]] / 100))) - Table1[[#This Row],[Unit_Cost]])</f>
        <v>8112.1884119999922</v>
      </c>
      <c r="G295" s="3">
        <v>18</v>
      </c>
      <c r="H295" t="s">
        <v>16</v>
      </c>
      <c r="I295">
        <v>2760.21</v>
      </c>
      <c r="J295" s="2">
        <v>3219.58</v>
      </c>
      <c r="K295" t="s">
        <v>30</v>
      </c>
      <c r="L295" s="4">
        <v>0.27</v>
      </c>
      <c r="M295" t="s">
        <v>27</v>
      </c>
      <c r="N295" t="s">
        <v>22</v>
      </c>
      <c r="O295" t="s">
        <v>40</v>
      </c>
    </row>
    <row r="296" spans="1:15" x14ac:dyDescent="0.25">
      <c r="A296" s="3">
        <v>1037</v>
      </c>
      <c r="B296" s="1">
        <v>45084</v>
      </c>
      <c r="C296" t="s">
        <v>42</v>
      </c>
      <c r="D296" t="s">
        <v>25</v>
      </c>
      <c r="E296" s="2">
        <f>Table1[[#This Row],[Quantity_Sold]] * Table1[[#This Row],[Unit_Price]] * (1 - (Table1[[#This Row],[Discount]] / 100))</f>
        <v>20022.151232</v>
      </c>
      <c r="F296" s="2">
        <f>Table1[[#This Row],[Quantity_Sold]] * ((Table1[[#This Row],[Unit_Price]] * (1 - (Table1[[#This Row],[Discount]] / 100))) - Table1[[#This Row],[Unit_Cost]])</f>
        <v>1135.3512320000009</v>
      </c>
      <c r="G296" s="3">
        <v>4</v>
      </c>
      <c r="H296" t="s">
        <v>26</v>
      </c>
      <c r="I296">
        <v>4721.7</v>
      </c>
      <c r="J296" s="2">
        <v>5017.58</v>
      </c>
      <c r="K296" t="s">
        <v>30</v>
      </c>
      <c r="L296" s="4">
        <v>0.24</v>
      </c>
      <c r="M296" t="s">
        <v>18</v>
      </c>
      <c r="N296" t="s">
        <v>22</v>
      </c>
      <c r="O296" t="s">
        <v>43</v>
      </c>
    </row>
    <row r="297" spans="1:15" x14ac:dyDescent="0.25">
      <c r="A297" s="3">
        <v>1032</v>
      </c>
      <c r="B297" s="1">
        <v>45211</v>
      </c>
      <c r="C297" t="s">
        <v>42</v>
      </c>
      <c r="D297" t="s">
        <v>15</v>
      </c>
      <c r="E297" s="2">
        <f>Table1[[#This Row],[Quantity_Sold]] * Table1[[#This Row],[Unit_Price]] * (1 - (Table1[[#This Row],[Discount]] / 100))</f>
        <v>25957.445367</v>
      </c>
      <c r="F297" s="2">
        <f>Table1[[#This Row],[Quantity_Sold]] * ((Table1[[#This Row],[Unit_Price]] * (1 - (Table1[[#This Row],[Discount]] / 100))) - Table1[[#This Row],[Unit_Cost]])</f>
        <v>3994.9753669999982</v>
      </c>
      <c r="G297" s="3">
        <v>17</v>
      </c>
      <c r="H297" t="s">
        <v>29</v>
      </c>
      <c r="I297">
        <v>1291.9100000000001</v>
      </c>
      <c r="J297" s="2">
        <v>1528.59</v>
      </c>
      <c r="K297" t="s">
        <v>17</v>
      </c>
      <c r="L297" s="4">
        <v>0.11</v>
      </c>
      <c r="M297" t="s">
        <v>31</v>
      </c>
      <c r="N297" t="s">
        <v>22</v>
      </c>
      <c r="O297" t="s">
        <v>49</v>
      </c>
    </row>
    <row r="298" spans="1:15" x14ac:dyDescent="0.25">
      <c r="A298" s="3">
        <v>1009</v>
      </c>
      <c r="B298" s="1">
        <v>45231</v>
      </c>
      <c r="C298" t="s">
        <v>14</v>
      </c>
      <c r="D298" t="s">
        <v>25</v>
      </c>
      <c r="E298" s="2">
        <f>Table1[[#This Row],[Quantity_Sold]] * Table1[[#This Row],[Unit_Price]] * (1 - (Table1[[#This Row],[Discount]] / 100))</f>
        <v>13413.244151999999</v>
      </c>
      <c r="F298" s="2">
        <f>Table1[[#This Row],[Quantity_Sold]] * ((Table1[[#This Row],[Unit_Price]] * (1 - (Table1[[#This Row],[Discount]] / 100))) - Table1[[#This Row],[Unit_Cost]])</f>
        <v>5744.1841519999998</v>
      </c>
      <c r="G298" s="3">
        <v>14</v>
      </c>
      <c r="H298" t="s">
        <v>26</v>
      </c>
      <c r="I298">
        <v>547.79</v>
      </c>
      <c r="J298" s="2">
        <v>958.76</v>
      </c>
      <c r="K298" t="s">
        <v>17</v>
      </c>
      <c r="L298" s="4">
        <v>7.0000000000000007E-2</v>
      </c>
      <c r="M298" t="s">
        <v>31</v>
      </c>
      <c r="N298" t="s">
        <v>22</v>
      </c>
      <c r="O298" t="s">
        <v>32</v>
      </c>
    </row>
    <row r="299" spans="1:15" x14ac:dyDescent="0.25">
      <c r="A299" s="3">
        <v>1099</v>
      </c>
      <c r="B299" s="1">
        <v>45212</v>
      </c>
      <c r="C299" t="s">
        <v>33</v>
      </c>
      <c r="D299" t="s">
        <v>15</v>
      </c>
      <c r="E299" s="2">
        <f>Table1[[#This Row],[Quantity_Sold]] * Table1[[#This Row],[Unit_Price]] * (1 - (Table1[[#This Row],[Discount]] / 100))</f>
        <v>32708.462723999994</v>
      </c>
      <c r="F299" s="2">
        <f>Table1[[#This Row],[Quantity_Sold]] * ((Table1[[#This Row],[Unit_Price]] * (1 - (Table1[[#This Row],[Discount]] / 100))) - Table1[[#This Row],[Unit_Cost]])</f>
        <v>4755.5027239999963</v>
      </c>
      <c r="G299" s="3">
        <v>14</v>
      </c>
      <c r="H299" t="s">
        <v>26</v>
      </c>
      <c r="I299">
        <v>1996.64</v>
      </c>
      <c r="J299" s="2">
        <v>2341.4699999999998</v>
      </c>
      <c r="K299" t="s">
        <v>17</v>
      </c>
      <c r="L299" s="4">
        <v>0.22</v>
      </c>
      <c r="M299" t="s">
        <v>31</v>
      </c>
      <c r="N299" t="s">
        <v>19</v>
      </c>
      <c r="O299" t="s">
        <v>53</v>
      </c>
    </row>
    <row r="300" spans="1:15" x14ac:dyDescent="0.25">
      <c r="A300" s="3">
        <v>1019</v>
      </c>
      <c r="B300" s="1">
        <v>45070</v>
      </c>
      <c r="C300" t="s">
        <v>38</v>
      </c>
      <c r="D300" t="s">
        <v>25</v>
      </c>
      <c r="E300" s="2">
        <f>Table1[[#This Row],[Quantity_Sold]] * Table1[[#This Row],[Unit_Price]] * (1 - (Table1[[#This Row],[Discount]] / 100))</f>
        <v>41597.368643999995</v>
      </c>
      <c r="F300" s="2">
        <f>Table1[[#This Row],[Quantity_Sold]] * ((Table1[[#This Row],[Unit_Price]] * (1 - (Table1[[#This Row],[Discount]] / 100))) - Table1[[#This Row],[Unit_Cost]])</f>
        <v>1261.8786439999985</v>
      </c>
      <c r="G300" s="3">
        <v>13</v>
      </c>
      <c r="H300" t="s">
        <v>26</v>
      </c>
      <c r="I300">
        <v>3102.73</v>
      </c>
      <c r="J300" s="2">
        <v>3202.68</v>
      </c>
      <c r="K300" t="s">
        <v>30</v>
      </c>
      <c r="L300" s="4">
        <v>0.09</v>
      </c>
      <c r="M300" t="s">
        <v>18</v>
      </c>
      <c r="N300" t="s">
        <v>19</v>
      </c>
      <c r="O300" t="s">
        <v>39</v>
      </c>
    </row>
    <row r="301" spans="1:15" x14ac:dyDescent="0.25">
      <c r="A301" s="3">
        <v>1048</v>
      </c>
      <c r="B301" s="1">
        <v>44945</v>
      </c>
      <c r="C301" t="s">
        <v>14</v>
      </c>
      <c r="D301" t="s">
        <v>21</v>
      </c>
      <c r="E301" s="2">
        <f>Table1[[#This Row],[Quantity_Sold]] * Table1[[#This Row],[Unit_Price]] * (1 - (Table1[[#This Row],[Discount]] / 100))</f>
        <v>33045.868800000004</v>
      </c>
      <c r="F301" s="2">
        <f>Table1[[#This Row],[Quantity_Sold]] * ((Table1[[#This Row],[Unit_Price]] * (1 - (Table1[[#This Row],[Discount]] / 100))) - Table1[[#This Row],[Unit_Cost]])</f>
        <v>2869.2187999999987</v>
      </c>
      <c r="G301" s="3">
        <v>7</v>
      </c>
      <c r="H301" t="s">
        <v>29</v>
      </c>
      <c r="I301">
        <v>4310.95</v>
      </c>
      <c r="J301" s="2">
        <v>4723.2</v>
      </c>
      <c r="K301" t="s">
        <v>17</v>
      </c>
      <c r="L301" s="4">
        <v>0.05</v>
      </c>
      <c r="M301" t="s">
        <v>31</v>
      </c>
      <c r="N301" t="s">
        <v>22</v>
      </c>
      <c r="O301" t="s">
        <v>23</v>
      </c>
    </row>
    <row r="302" spans="1:15" x14ac:dyDescent="0.25">
      <c r="A302" s="3">
        <v>1080</v>
      </c>
      <c r="B302" s="1">
        <v>44944</v>
      </c>
      <c r="C302" t="s">
        <v>33</v>
      </c>
      <c r="D302" t="s">
        <v>34</v>
      </c>
      <c r="E302" s="2">
        <f>Table1[[#This Row],[Quantity_Sold]] * Table1[[#This Row],[Unit_Price]] * (1 - (Table1[[#This Row],[Discount]] / 100))</f>
        <v>87078.588608000005</v>
      </c>
      <c r="F302" s="2">
        <f>Table1[[#This Row],[Quantity_Sold]] * ((Table1[[#This Row],[Unit_Price]] * (1 - (Table1[[#This Row],[Discount]] / 100))) - Table1[[#This Row],[Unit_Cost]])</f>
        <v>9477.108607999995</v>
      </c>
      <c r="G302" s="3">
        <v>44</v>
      </c>
      <c r="H302" t="s">
        <v>35</v>
      </c>
      <c r="I302">
        <v>1763.67</v>
      </c>
      <c r="J302" s="2">
        <v>1983.82</v>
      </c>
      <c r="K302" t="s">
        <v>30</v>
      </c>
      <c r="L302" s="4">
        <v>0.24</v>
      </c>
      <c r="M302" t="s">
        <v>31</v>
      </c>
      <c r="N302" t="s">
        <v>19</v>
      </c>
      <c r="O302" t="s">
        <v>36</v>
      </c>
    </row>
    <row r="303" spans="1:15" x14ac:dyDescent="0.25">
      <c r="A303" s="3">
        <v>1003</v>
      </c>
      <c r="B303" s="1">
        <v>45183</v>
      </c>
      <c r="C303" t="s">
        <v>14</v>
      </c>
      <c r="D303" t="s">
        <v>21</v>
      </c>
      <c r="E303" s="2">
        <f>Table1[[#This Row],[Quantity_Sold]] * Table1[[#This Row],[Unit_Price]] * (1 - (Table1[[#This Row],[Discount]] / 100))</f>
        <v>50786.850659999851</v>
      </c>
      <c r="F303" s="2">
        <f>Table1[[#This Row],[Quantity_Sold]] * ((Table1[[#This Row],[Unit_Price]] * (1 - (Table1[[#This Row],[Discount]] / 100))) - Table1[[#This Row],[Unit_Cost]])</f>
        <v>1493.2506599998578</v>
      </c>
      <c r="G303" s="3">
        <v>15</v>
      </c>
      <c r="H303" t="s">
        <v>29</v>
      </c>
      <c r="I303">
        <v>3286.24</v>
      </c>
      <c r="J303" s="2">
        <v>3388.8399999999901</v>
      </c>
      <c r="K303" t="s">
        <v>17</v>
      </c>
      <c r="L303" s="4">
        <v>0.09</v>
      </c>
      <c r="M303" t="s">
        <v>31</v>
      </c>
      <c r="N303" t="s">
        <v>22</v>
      </c>
      <c r="O303" t="s">
        <v>23</v>
      </c>
    </row>
    <row r="304" spans="1:15" x14ac:dyDescent="0.25">
      <c r="A304" s="3">
        <v>1020</v>
      </c>
      <c r="B304" s="1">
        <v>45004</v>
      </c>
      <c r="C304" t="s">
        <v>38</v>
      </c>
      <c r="D304" t="s">
        <v>21</v>
      </c>
      <c r="E304" s="2">
        <f>Table1[[#This Row],[Quantity_Sold]] * Table1[[#This Row],[Unit_Price]] * (1 - (Table1[[#This Row],[Discount]] / 100))</f>
        <v>36600.550971999997</v>
      </c>
      <c r="F304" s="2">
        <f>Table1[[#This Row],[Quantity_Sold]] * ((Table1[[#This Row],[Unit_Price]] * (1 - (Table1[[#This Row],[Discount]] / 100))) - Table1[[#This Row],[Unit_Cost]])</f>
        <v>2714.4309719999974</v>
      </c>
      <c r="G304" s="3">
        <v>19</v>
      </c>
      <c r="H304" t="s">
        <v>26</v>
      </c>
      <c r="I304">
        <v>1783.48</v>
      </c>
      <c r="J304" s="2">
        <v>1931.56</v>
      </c>
      <c r="K304" t="s">
        <v>17</v>
      </c>
      <c r="L304" s="4">
        <v>0.27</v>
      </c>
      <c r="M304" t="s">
        <v>27</v>
      </c>
      <c r="N304" t="s">
        <v>22</v>
      </c>
      <c r="O304" t="s">
        <v>41</v>
      </c>
    </row>
    <row r="305" spans="1:15" x14ac:dyDescent="0.25">
      <c r="A305" s="3">
        <v>1024</v>
      </c>
      <c r="B305" s="1">
        <v>45101</v>
      </c>
      <c r="C305" t="s">
        <v>42</v>
      </c>
      <c r="D305" t="s">
        <v>15</v>
      </c>
      <c r="E305" s="2">
        <f>Table1[[#This Row],[Quantity_Sold]] * Table1[[#This Row],[Unit_Price]] * (1 - (Table1[[#This Row],[Discount]] / 100))</f>
        <v>139243.20952500001</v>
      </c>
      <c r="F305" s="2">
        <f>Table1[[#This Row],[Quantity_Sold]] * ((Table1[[#This Row],[Unit_Price]] * (1 - (Table1[[#This Row],[Discount]] / 100))) - Table1[[#This Row],[Unit_Cost]])</f>
        <v>5717.8895250000123</v>
      </c>
      <c r="G305" s="3">
        <v>43</v>
      </c>
      <c r="H305" t="s">
        <v>29</v>
      </c>
      <c r="I305">
        <v>3105.24</v>
      </c>
      <c r="J305" s="2">
        <v>3246.33</v>
      </c>
      <c r="K305" t="s">
        <v>30</v>
      </c>
      <c r="L305" s="4">
        <v>0.25</v>
      </c>
      <c r="M305" t="s">
        <v>18</v>
      </c>
      <c r="N305" t="s">
        <v>19</v>
      </c>
      <c r="O305" t="s">
        <v>49</v>
      </c>
    </row>
    <row r="306" spans="1:15" x14ac:dyDescent="0.25">
      <c r="A306" s="3">
        <v>1054</v>
      </c>
      <c r="B306" s="1">
        <v>45120</v>
      </c>
      <c r="C306" t="s">
        <v>42</v>
      </c>
      <c r="D306" t="s">
        <v>25</v>
      </c>
      <c r="E306" s="2">
        <f>Table1[[#This Row],[Quantity_Sold]] * Table1[[#This Row],[Unit_Price]] * (1 - (Table1[[#This Row],[Discount]] / 100))</f>
        <v>220076.30032500002</v>
      </c>
      <c r="F306" s="2">
        <f>Table1[[#This Row],[Quantity_Sold]] * ((Table1[[#This Row],[Unit_Price]] * (1 - (Table1[[#This Row],[Discount]] / 100))) - Table1[[#This Row],[Unit_Cost]])</f>
        <v>11875.700324999991</v>
      </c>
      <c r="G306" s="3">
        <v>47</v>
      </c>
      <c r="H306" t="s">
        <v>26</v>
      </c>
      <c r="I306">
        <v>4429.8</v>
      </c>
      <c r="J306" s="2">
        <v>4694.21</v>
      </c>
      <c r="K306" t="s">
        <v>30</v>
      </c>
      <c r="L306" s="4">
        <v>0.25</v>
      </c>
      <c r="M306" t="s">
        <v>27</v>
      </c>
      <c r="N306" t="s">
        <v>19</v>
      </c>
      <c r="O306" t="s">
        <v>43</v>
      </c>
    </row>
    <row r="307" spans="1:15" x14ac:dyDescent="0.25">
      <c r="A307" s="3">
        <v>1033</v>
      </c>
      <c r="B307" s="1">
        <v>45039</v>
      </c>
      <c r="C307" t="s">
        <v>33</v>
      </c>
      <c r="D307" t="s">
        <v>34</v>
      </c>
      <c r="E307" s="2">
        <f>Table1[[#This Row],[Quantity_Sold]] * Table1[[#This Row],[Unit_Price]] * (1 - (Table1[[#This Row],[Discount]] / 100))</f>
        <v>57949.049928</v>
      </c>
      <c r="F307" s="2">
        <f>Table1[[#This Row],[Quantity_Sold]] * ((Table1[[#This Row],[Unit_Price]] * (1 - (Table1[[#This Row],[Discount]] / 100))) - Table1[[#This Row],[Unit_Cost]])</f>
        <v>5359.3699279999992</v>
      </c>
      <c r="G307" s="3">
        <v>44</v>
      </c>
      <c r="H307" t="s">
        <v>35</v>
      </c>
      <c r="I307">
        <v>1195.22</v>
      </c>
      <c r="J307" s="2">
        <v>1320.06</v>
      </c>
      <c r="K307" t="s">
        <v>17</v>
      </c>
      <c r="L307" s="4">
        <v>0.23</v>
      </c>
      <c r="M307" t="s">
        <v>27</v>
      </c>
      <c r="N307" t="s">
        <v>22</v>
      </c>
      <c r="O307" t="s">
        <v>36</v>
      </c>
    </row>
    <row r="308" spans="1:15" x14ac:dyDescent="0.25">
      <c r="A308" s="3">
        <v>1024</v>
      </c>
      <c r="B308" s="1">
        <v>45040</v>
      </c>
      <c r="C308" t="s">
        <v>24</v>
      </c>
      <c r="D308" t="s">
        <v>15</v>
      </c>
      <c r="E308" s="2">
        <f>Table1[[#This Row],[Quantity_Sold]] * Table1[[#This Row],[Unit_Price]] * (1 - (Table1[[#This Row],[Discount]] / 100))</f>
        <v>74061.188949999996</v>
      </c>
      <c r="F308" s="2">
        <f>Table1[[#This Row],[Quantity_Sold]] * ((Table1[[#This Row],[Unit_Price]] * (1 - (Table1[[#This Row],[Discount]] / 100))) - Table1[[#This Row],[Unit_Cost]])</f>
        <v>2276.1889499999984</v>
      </c>
      <c r="G308" s="3">
        <v>35</v>
      </c>
      <c r="H308" t="s">
        <v>16</v>
      </c>
      <c r="I308">
        <v>2051</v>
      </c>
      <c r="J308" s="2">
        <v>2121.5500000000002</v>
      </c>
      <c r="K308" t="s">
        <v>17</v>
      </c>
      <c r="L308" s="4">
        <v>0.26</v>
      </c>
      <c r="M308" t="s">
        <v>18</v>
      </c>
      <c r="N308" t="s">
        <v>22</v>
      </c>
      <c r="O308" t="s">
        <v>45</v>
      </c>
    </row>
    <row r="309" spans="1:15" x14ac:dyDescent="0.25">
      <c r="A309" s="3">
        <v>1075</v>
      </c>
      <c r="B309" s="1">
        <v>45148</v>
      </c>
      <c r="C309" t="s">
        <v>33</v>
      </c>
      <c r="D309" t="s">
        <v>15</v>
      </c>
      <c r="E309" s="2">
        <f>Table1[[#This Row],[Quantity_Sold]] * Table1[[#This Row],[Unit_Price]] * (1 - (Table1[[#This Row],[Discount]] / 100))</f>
        <v>85428.069383999842</v>
      </c>
      <c r="F309" s="2">
        <f>Table1[[#This Row],[Quantity_Sold]] * ((Table1[[#This Row],[Unit_Price]] * (1 - (Table1[[#This Row],[Discount]] / 100))) - Table1[[#This Row],[Unit_Cost]])</f>
        <v>994.84938399984458</v>
      </c>
      <c r="G309" s="3">
        <v>17</v>
      </c>
      <c r="H309" t="s">
        <v>35</v>
      </c>
      <c r="I309">
        <v>4966.66</v>
      </c>
      <c r="J309" s="2">
        <v>5037.2699999999904</v>
      </c>
      <c r="K309" t="s">
        <v>17</v>
      </c>
      <c r="L309" s="4">
        <v>0.24</v>
      </c>
      <c r="M309" t="s">
        <v>27</v>
      </c>
      <c r="N309" t="s">
        <v>22</v>
      </c>
      <c r="O309" t="s">
        <v>53</v>
      </c>
    </row>
    <row r="310" spans="1:15" x14ac:dyDescent="0.25">
      <c r="A310" s="3">
        <v>1072</v>
      </c>
      <c r="B310" s="1">
        <v>45092</v>
      </c>
      <c r="C310" t="s">
        <v>24</v>
      </c>
      <c r="D310" t="s">
        <v>15</v>
      </c>
      <c r="E310" s="2">
        <f>Table1[[#This Row],[Quantity_Sold]] * Table1[[#This Row],[Unit_Price]] * (1 - (Table1[[#This Row],[Discount]] / 100))</f>
        <v>162288.30429</v>
      </c>
      <c r="F310" s="2">
        <f>Table1[[#This Row],[Quantity_Sold]] * ((Table1[[#This Row],[Unit_Price]] * (1 - (Table1[[#This Row],[Discount]] / 100))) - Table1[[#This Row],[Unit_Cost]])</f>
        <v>10060.704290000022</v>
      </c>
      <c r="G310" s="3">
        <v>35</v>
      </c>
      <c r="H310" t="s">
        <v>35</v>
      </c>
      <c r="I310">
        <v>4349.3599999999997</v>
      </c>
      <c r="J310" s="2">
        <v>4645.17</v>
      </c>
      <c r="K310" t="s">
        <v>17</v>
      </c>
      <c r="L310" s="4">
        <v>0.18</v>
      </c>
      <c r="M310" t="s">
        <v>31</v>
      </c>
      <c r="N310" t="s">
        <v>22</v>
      </c>
      <c r="O310" t="s">
        <v>45</v>
      </c>
    </row>
    <row r="311" spans="1:15" x14ac:dyDescent="0.25">
      <c r="A311" s="3">
        <v>1036</v>
      </c>
      <c r="B311" s="1">
        <v>45245</v>
      </c>
      <c r="C311" t="s">
        <v>14</v>
      </c>
      <c r="D311" t="s">
        <v>21</v>
      </c>
      <c r="E311" s="2">
        <f>Table1[[#This Row],[Quantity_Sold]] * Table1[[#This Row],[Unit_Price]] * (1 - (Table1[[#This Row],[Discount]] / 100))</f>
        <v>61030.023499999996</v>
      </c>
      <c r="F311" s="2">
        <f>Table1[[#This Row],[Quantity_Sold]] * ((Table1[[#This Row],[Unit_Price]] * (1 - (Table1[[#This Row],[Discount]] / 100))) - Table1[[#This Row],[Unit_Cost]])</f>
        <v>6975.5935000000009</v>
      </c>
      <c r="G311" s="3">
        <v>19</v>
      </c>
      <c r="H311" t="s">
        <v>16</v>
      </c>
      <c r="I311">
        <v>2844.97</v>
      </c>
      <c r="J311" s="2">
        <v>3215</v>
      </c>
      <c r="K311" t="s">
        <v>17</v>
      </c>
      <c r="L311" s="4">
        <v>0.09</v>
      </c>
      <c r="M311" t="s">
        <v>31</v>
      </c>
      <c r="N311" t="s">
        <v>22</v>
      </c>
      <c r="O311" t="s">
        <v>23</v>
      </c>
    </row>
    <row r="312" spans="1:15" x14ac:dyDescent="0.25">
      <c r="A312" s="3">
        <v>1038</v>
      </c>
      <c r="B312" s="1">
        <v>45058</v>
      </c>
      <c r="C312" t="s">
        <v>14</v>
      </c>
      <c r="D312" t="s">
        <v>25</v>
      </c>
      <c r="E312" s="2">
        <f>Table1[[#This Row],[Quantity_Sold]] * Table1[[#This Row],[Unit_Price]] * (1 - (Table1[[#This Row],[Discount]] / 100))</f>
        <v>55347.357560000004</v>
      </c>
      <c r="F312" s="2">
        <f>Table1[[#This Row],[Quantity_Sold]] * ((Table1[[#This Row],[Unit_Price]] * (1 - (Table1[[#This Row],[Discount]] / 100))) - Table1[[#This Row],[Unit_Cost]])</f>
        <v>3201.1575600000015</v>
      </c>
      <c r="G312" s="3">
        <v>20</v>
      </c>
      <c r="H312" t="s">
        <v>29</v>
      </c>
      <c r="I312">
        <v>2607.31</v>
      </c>
      <c r="J312" s="2">
        <v>2774.86</v>
      </c>
      <c r="K312" t="s">
        <v>30</v>
      </c>
      <c r="L312" s="4">
        <v>0.27</v>
      </c>
      <c r="M312" t="s">
        <v>31</v>
      </c>
      <c r="N312" t="s">
        <v>22</v>
      </c>
      <c r="O312" t="s">
        <v>32</v>
      </c>
    </row>
    <row r="313" spans="1:15" x14ac:dyDescent="0.25">
      <c r="A313" s="3">
        <v>1084</v>
      </c>
      <c r="B313" s="1">
        <v>45190</v>
      </c>
      <c r="C313" t="s">
        <v>38</v>
      </c>
      <c r="D313" t="s">
        <v>25</v>
      </c>
      <c r="E313" s="2">
        <f>Table1[[#This Row],[Quantity_Sold]] * Table1[[#This Row],[Unit_Price]] * (1 - (Table1[[#This Row],[Discount]] / 100))</f>
        <v>53353.282500000001</v>
      </c>
      <c r="F313" s="2">
        <f>Table1[[#This Row],[Quantity_Sold]] * ((Table1[[#This Row],[Unit_Price]] * (1 - (Table1[[#This Row],[Discount]] / 100))) - Table1[[#This Row],[Unit_Cost]])</f>
        <v>837.5625</v>
      </c>
      <c r="G313" s="3">
        <v>36</v>
      </c>
      <c r="H313" t="s">
        <v>16</v>
      </c>
      <c r="I313">
        <v>1458.77</v>
      </c>
      <c r="J313" s="2">
        <v>1485.75</v>
      </c>
      <c r="K313" t="s">
        <v>30</v>
      </c>
      <c r="L313" s="4">
        <v>0.25</v>
      </c>
      <c r="M313" t="s">
        <v>31</v>
      </c>
      <c r="N313" t="s">
        <v>19</v>
      </c>
      <c r="O313" t="s">
        <v>39</v>
      </c>
    </row>
    <row r="314" spans="1:15" x14ac:dyDescent="0.25">
      <c r="A314" s="3">
        <v>1099</v>
      </c>
      <c r="B314" s="1">
        <v>44981</v>
      </c>
      <c r="C314" t="s">
        <v>24</v>
      </c>
      <c r="D314" t="s">
        <v>34</v>
      </c>
      <c r="E314" s="2">
        <f>Table1[[#This Row],[Quantity_Sold]] * Table1[[#This Row],[Unit_Price]] * (1 - (Table1[[#This Row],[Discount]] / 100))</f>
        <v>93757.10603000001</v>
      </c>
      <c r="F314" s="2">
        <f>Table1[[#This Row],[Quantity_Sold]] * ((Table1[[#This Row],[Unit_Price]] * (1 - (Table1[[#This Row],[Discount]] / 100))) - Table1[[#This Row],[Unit_Cost]])</f>
        <v>2400.4560300000094</v>
      </c>
      <c r="G314" s="3">
        <v>35</v>
      </c>
      <c r="H314" t="s">
        <v>29</v>
      </c>
      <c r="I314">
        <v>2610.19</v>
      </c>
      <c r="J314" s="2">
        <v>2682.53</v>
      </c>
      <c r="K314" t="s">
        <v>30</v>
      </c>
      <c r="L314" s="4">
        <v>0.14000000000000001</v>
      </c>
      <c r="M314" t="s">
        <v>18</v>
      </c>
      <c r="N314" t="s">
        <v>22</v>
      </c>
      <c r="O314" t="s">
        <v>50</v>
      </c>
    </row>
    <row r="315" spans="1:15" x14ac:dyDescent="0.25">
      <c r="A315" s="3">
        <v>1089</v>
      </c>
      <c r="B315" s="1">
        <v>45285</v>
      </c>
      <c r="C315" t="s">
        <v>38</v>
      </c>
      <c r="D315" t="s">
        <v>25</v>
      </c>
      <c r="E315" s="2">
        <f>Table1[[#This Row],[Quantity_Sold]] * Table1[[#This Row],[Unit_Price]] * (1 - (Table1[[#This Row],[Discount]] / 100))</f>
        <v>150599.33856</v>
      </c>
      <c r="F315" s="2">
        <f>Table1[[#This Row],[Quantity_Sold]] * ((Table1[[#This Row],[Unit_Price]] * (1 - (Table1[[#This Row],[Discount]] / 100))) - Table1[[#This Row],[Unit_Cost]])</f>
        <v>14647.338560000004</v>
      </c>
      <c r="G315" s="3">
        <v>32</v>
      </c>
      <c r="H315" t="s">
        <v>29</v>
      </c>
      <c r="I315">
        <v>4248.5</v>
      </c>
      <c r="J315" s="2">
        <v>4706.7</v>
      </c>
      <c r="K315" t="s">
        <v>30</v>
      </c>
      <c r="L315" s="4">
        <v>0.01</v>
      </c>
      <c r="M315" t="s">
        <v>27</v>
      </c>
      <c r="N315" t="s">
        <v>22</v>
      </c>
      <c r="O315" t="s">
        <v>39</v>
      </c>
    </row>
    <row r="316" spans="1:15" x14ac:dyDescent="0.25">
      <c r="A316" s="3">
        <v>1099</v>
      </c>
      <c r="B316" s="1">
        <v>45057</v>
      </c>
      <c r="C316" t="s">
        <v>42</v>
      </c>
      <c r="D316" t="s">
        <v>25</v>
      </c>
      <c r="E316" s="2">
        <f>Table1[[#This Row],[Quantity_Sold]] * Table1[[#This Row],[Unit_Price]] * (1 - (Table1[[#This Row],[Discount]] / 100))</f>
        <v>176948.75735999999</v>
      </c>
      <c r="F316" s="2">
        <f>Table1[[#This Row],[Quantity_Sold]] * ((Table1[[#This Row],[Unit_Price]] * (1 - (Table1[[#This Row],[Discount]] / 100))) - Table1[[#This Row],[Unit_Cost]])</f>
        <v>11751.47735999999</v>
      </c>
      <c r="G316" s="3">
        <v>48</v>
      </c>
      <c r="H316" t="s">
        <v>26</v>
      </c>
      <c r="I316">
        <v>3441.61</v>
      </c>
      <c r="J316" s="2">
        <v>3693.45</v>
      </c>
      <c r="K316" t="s">
        <v>17</v>
      </c>
      <c r="L316" s="4">
        <v>0.19</v>
      </c>
      <c r="M316" t="s">
        <v>27</v>
      </c>
      <c r="N316" t="s">
        <v>19</v>
      </c>
      <c r="O316" t="s">
        <v>43</v>
      </c>
    </row>
    <row r="317" spans="1:15" x14ac:dyDescent="0.25">
      <c r="A317" s="3">
        <v>1025</v>
      </c>
      <c r="B317" s="1">
        <v>45214</v>
      </c>
      <c r="C317" t="s">
        <v>24</v>
      </c>
      <c r="D317" t="s">
        <v>15</v>
      </c>
      <c r="E317" s="2">
        <f>Table1[[#This Row],[Quantity_Sold]] * Table1[[#This Row],[Unit_Price]] * (1 - (Table1[[#This Row],[Discount]] / 100))</f>
        <v>75575.561864000003</v>
      </c>
      <c r="F317" s="2">
        <f>Table1[[#This Row],[Quantity_Sold]] * ((Table1[[#This Row],[Unit_Price]] * (1 - (Table1[[#This Row],[Discount]] / 100))) - Table1[[#This Row],[Unit_Cost]])</f>
        <v>10203.881864000003</v>
      </c>
      <c r="G317" s="3">
        <v>44</v>
      </c>
      <c r="H317" t="s">
        <v>26</v>
      </c>
      <c r="I317">
        <v>1485.72</v>
      </c>
      <c r="J317" s="2">
        <v>1717.97</v>
      </c>
      <c r="K317" t="s">
        <v>30</v>
      </c>
      <c r="L317" s="4">
        <v>0.02</v>
      </c>
      <c r="M317" t="s">
        <v>31</v>
      </c>
      <c r="N317" t="s">
        <v>22</v>
      </c>
      <c r="O317" t="s">
        <v>45</v>
      </c>
    </row>
    <row r="318" spans="1:15" x14ac:dyDescent="0.25">
      <c r="A318" s="3">
        <v>1093</v>
      </c>
      <c r="B318" s="1">
        <v>45192</v>
      </c>
      <c r="C318" t="s">
        <v>33</v>
      </c>
      <c r="D318" t="s">
        <v>15</v>
      </c>
      <c r="E318" s="2">
        <f>Table1[[#This Row],[Quantity_Sold]] * Table1[[#This Row],[Unit_Price]] * (1 - (Table1[[#This Row],[Discount]] / 100))</f>
        <v>42915.100320000005</v>
      </c>
      <c r="F318" s="2">
        <f>Table1[[#This Row],[Quantity_Sold]] * ((Table1[[#This Row],[Unit_Price]] * (1 - (Table1[[#This Row],[Discount]] / 100))) - Table1[[#This Row],[Unit_Cost]])</f>
        <v>1025.1003200000014</v>
      </c>
      <c r="G318" s="3">
        <v>40</v>
      </c>
      <c r="H318" t="s">
        <v>16</v>
      </c>
      <c r="I318">
        <v>1047.25</v>
      </c>
      <c r="J318" s="2">
        <v>1075.8900000000001</v>
      </c>
      <c r="K318" t="s">
        <v>30</v>
      </c>
      <c r="L318" s="4">
        <v>0.28000000000000003</v>
      </c>
      <c r="M318" t="s">
        <v>31</v>
      </c>
      <c r="N318" t="s">
        <v>22</v>
      </c>
      <c r="O318" t="s">
        <v>53</v>
      </c>
    </row>
    <row r="319" spans="1:15" x14ac:dyDescent="0.25">
      <c r="A319" s="3">
        <v>1018</v>
      </c>
      <c r="B319" s="1">
        <v>45292</v>
      </c>
      <c r="C319" t="s">
        <v>42</v>
      </c>
      <c r="D319" t="s">
        <v>21</v>
      </c>
      <c r="E319" s="2">
        <f>Table1[[#This Row],[Quantity_Sold]] * Table1[[#This Row],[Unit_Price]] * (1 - (Table1[[#This Row],[Discount]] / 100))</f>
        <v>41395.045224000001</v>
      </c>
      <c r="F319" s="2">
        <f>Table1[[#This Row],[Quantity_Sold]] * ((Table1[[#This Row],[Unit_Price]] * (1 - (Table1[[#This Row],[Discount]] / 100))) - Table1[[#This Row],[Unit_Cost]])</f>
        <v>8688.3252240000002</v>
      </c>
      <c r="G319" s="3">
        <v>24</v>
      </c>
      <c r="H319" t="s">
        <v>35</v>
      </c>
      <c r="I319">
        <v>1362.78</v>
      </c>
      <c r="J319" s="2">
        <v>1729.81</v>
      </c>
      <c r="K319" t="s">
        <v>30</v>
      </c>
      <c r="L319" s="4">
        <v>0.28999999999999998</v>
      </c>
      <c r="M319" t="s">
        <v>27</v>
      </c>
      <c r="N319" t="s">
        <v>19</v>
      </c>
      <c r="O319" t="s">
        <v>51</v>
      </c>
    </row>
    <row r="320" spans="1:15" x14ac:dyDescent="0.25">
      <c r="A320" s="3">
        <v>1082</v>
      </c>
      <c r="B320" s="1">
        <v>45088</v>
      </c>
      <c r="C320" t="s">
        <v>42</v>
      </c>
      <c r="D320" t="s">
        <v>15</v>
      </c>
      <c r="E320" s="2">
        <f>Table1[[#This Row],[Quantity_Sold]] * Table1[[#This Row],[Unit_Price]] * (1 - (Table1[[#This Row],[Discount]] / 100))</f>
        <v>19692.197587999999</v>
      </c>
      <c r="F320" s="2">
        <f>Table1[[#This Row],[Quantity_Sold]] * ((Table1[[#This Row],[Unit_Price]] * (1 - (Table1[[#This Row],[Discount]] / 100))) - Table1[[#This Row],[Unit_Cost]])</f>
        <v>4556.9275880000005</v>
      </c>
      <c r="G320" s="3">
        <v>17</v>
      </c>
      <c r="H320" t="s">
        <v>16</v>
      </c>
      <c r="I320">
        <v>890.31</v>
      </c>
      <c r="J320" s="2">
        <v>1159.06</v>
      </c>
      <c r="K320" t="s">
        <v>17</v>
      </c>
      <c r="L320" s="4">
        <v>0.06</v>
      </c>
      <c r="M320" t="s">
        <v>18</v>
      </c>
      <c r="N320" t="s">
        <v>22</v>
      </c>
      <c r="O320" t="s">
        <v>49</v>
      </c>
    </row>
    <row r="321" spans="1:15" x14ac:dyDescent="0.25">
      <c r="A321" s="3">
        <v>1066</v>
      </c>
      <c r="B321" s="1">
        <v>45013</v>
      </c>
      <c r="C321" t="s">
        <v>33</v>
      </c>
      <c r="D321" t="s">
        <v>15</v>
      </c>
      <c r="E321" s="2">
        <f>Table1[[#This Row],[Quantity_Sold]] * Table1[[#This Row],[Unit_Price]] * (1 - (Table1[[#This Row],[Discount]] / 100))</f>
        <v>4418.2258399999937</v>
      </c>
      <c r="F321" s="2">
        <f>Table1[[#This Row],[Quantity_Sold]] * ((Table1[[#This Row],[Unit_Price]] * (1 - (Table1[[#This Row],[Discount]] / 100))) - Table1[[#This Row],[Unit_Cost]])</f>
        <v>754.28583999999387</v>
      </c>
      <c r="G321" s="3">
        <v>7</v>
      </c>
      <c r="H321" t="s">
        <v>29</v>
      </c>
      <c r="I321">
        <v>523.41999999999996</v>
      </c>
      <c r="J321" s="2">
        <v>632.43999999999903</v>
      </c>
      <c r="K321" t="s">
        <v>30</v>
      </c>
      <c r="L321" s="4">
        <v>0.2</v>
      </c>
      <c r="M321" t="s">
        <v>27</v>
      </c>
      <c r="N321" t="s">
        <v>19</v>
      </c>
      <c r="O321" t="s">
        <v>53</v>
      </c>
    </row>
    <row r="322" spans="1:15" x14ac:dyDescent="0.25">
      <c r="A322" s="3">
        <v>1054</v>
      </c>
      <c r="B322" s="1">
        <v>44981</v>
      </c>
      <c r="C322" t="s">
        <v>42</v>
      </c>
      <c r="D322" t="s">
        <v>15</v>
      </c>
      <c r="E322" s="2">
        <f>Table1[[#This Row],[Quantity_Sold]] * Table1[[#This Row],[Unit_Price]] * (1 - (Table1[[#This Row],[Discount]] / 100))</f>
        <v>94084.146285999988</v>
      </c>
      <c r="F322" s="2">
        <f>Table1[[#This Row],[Quantity_Sold]] * ((Table1[[#This Row],[Unit_Price]] * (1 - (Table1[[#This Row],[Discount]] / 100))) - Table1[[#This Row],[Unit_Cost]])</f>
        <v>2721.186286000001</v>
      </c>
      <c r="G322" s="3">
        <v>43</v>
      </c>
      <c r="H322" t="s">
        <v>26</v>
      </c>
      <c r="I322">
        <v>2124.7199999999998</v>
      </c>
      <c r="J322" s="2">
        <v>2188.66</v>
      </c>
      <c r="K322" t="s">
        <v>17</v>
      </c>
      <c r="L322" s="4">
        <v>0.03</v>
      </c>
      <c r="M322" t="s">
        <v>31</v>
      </c>
      <c r="N322" t="s">
        <v>22</v>
      </c>
      <c r="O322" t="s">
        <v>49</v>
      </c>
    </row>
    <row r="323" spans="1:15" x14ac:dyDescent="0.25">
      <c r="A323" s="3">
        <v>1035</v>
      </c>
      <c r="B323" s="1">
        <v>45214</v>
      </c>
      <c r="C323" t="s">
        <v>24</v>
      </c>
      <c r="D323" t="s">
        <v>15</v>
      </c>
      <c r="E323" s="2">
        <f>Table1[[#This Row],[Quantity_Sold]] * Table1[[#This Row],[Unit_Price]] * (1 - (Table1[[#This Row],[Discount]] / 100))</f>
        <v>806.91088200000002</v>
      </c>
      <c r="F323" s="2">
        <f>Table1[[#This Row],[Quantity_Sold]] * ((Table1[[#This Row],[Unit_Price]] * (1 - (Table1[[#This Row],[Discount]] / 100))) - Table1[[#This Row],[Unit_Cost]])</f>
        <v>196.08088199999997</v>
      </c>
      <c r="G323" s="3">
        <v>1</v>
      </c>
      <c r="H323" t="s">
        <v>16</v>
      </c>
      <c r="I323">
        <v>610.83000000000004</v>
      </c>
      <c r="J323" s="2">
        <v>808.69</v>
      </c>
      <c r="K323" t="s">
        <v>30</v>
      </c>
      <c r="L323" s="4">
        <v>0.22</v>
      </c>
      <c r="M323" t="s">
        <v>31</v>
      </c>
      <c r="N323" t="s">
        <v>19</v>
      </c>
      <c r="O323" t="s">
        <v>45</v>
      </c>
    </row>
    <row r="324" spans="1:15" x14ac:dyDescent="0.25">
      <c r="A324" s="3">
        <v>1080</v>
      </c>
      <c r="B324" s="1">
        <v>45104</v>
      </c>
      <c r="C324" t="s">
        <v>38</v>
      </c>
      <c r="D324" t="s">
        <v>21</v>
      </c>
      <c r="E324" s="2">
        <f>Table1[[#This Row],[Quantity_Sold]] * Table1[[#This Row],[Unit_Price]] * (1 - (Table1[[#This Row],[Discount]] / 100))</f>
        <v>46195.058700000001</v>
      </c>
      <c r="F324" s="2">
        <f>Table1[[#This Row],[Quantity_Sold]] * ((Table1[[#This Row],[Unit_Price]] * (1 - (Table1[[#This Row],[Discount]] / 100))) - Table1[[#This Row],[Unit_Cost]])</f>
        <v>14661.108700000004</v>
      </c>
      <c r="G324" s="3">
        <v>35</v>
      </c>
      <c r="H324" t="s">
        <v>16</v>
      </c>
      <c r="I324">
        <v>900.97</v>
      </c>
      <c r="J324" s="2">
        <v>1321.18</v>
      </c>
      <c r="K324" t="s">
        <v>17</v>
      </c>
      <c r="L324" s="4">
        <v>0.1</v>
      </c>
      <c r="M324" t="s">
        <v>18</v>
      </c>
      <c r="N324" t="s">
        <v>19</v>
      </c>
      <c r="O324" t="s">
        <v>41</v>
      </c>
    </row>
    <row r="325" spans="1:15" x14ac:dyDescent="0.25">
      <c r="A325" s="3">
        <v>1061</v>
      </c>
      <c r="B325" s="1">
        <v>45275</v>
      </c>
      <c r="C325" t="s">
        <v>42</v>
      </c>
      <c r="D325" t="s">
        <v>15</v>
      </c>
      <c r="E325" s="2">
        <f>Table1[[#This Row],[Quantity_Sold]] * Table1[[#This Row],[Unit_Price]] * (1 - (Table1[[#This Row],[Discount]] / 100))</f>
        <v>101979.632</v>
      </c>
      <c r="F325" s="2">
        <f>Table1[[#This Row],[Quantity_Sold]] * ((Table1[[#This Row],[Unit_Price]] * (1 - (Table1[[#This Row],[Discount]] / 100))) - Table1[[#This Row],[Unit_Cost]])</f>
        <v>13683.311999999991</v>
      </c>
      <c r="G325" s="3">
        <v>32</v>
      </c>
      <c r="H325" t="s">
        <v>26</v>
      </c>
      <c r="I325">
        <v>2759.26</v>
      </c>
      <c r="J325" s="2">
        <v>3193.25</v>
      </c>
      <c r="K325" t="s">
        <v>30</v>
      </c>
      <c r="L325" s="4">
        <v>0.2</v>
      </c>
      <c r="M325" t="s">
        <v>27</v>
      </c>
      <c r="N325" t="s">
        <v>19</v>
      </c>
      <c r="O325" t="s">
        <v>49</v>
      </c>
    </row>
    <row r="326" spans="1:15" x14ac:dyDescent="0.25">
      <c r="A326" s="3">
        <v>1041</v>
      </c>
      <c r="B326" s="1">
        <v>44934</v>
      </c>
      <c r="C326" t="s">
        <v>24</v>
      </c>
      <c r="D326" t="s">
        <v>34</v>
      </c>
      <c r="E326" s="2">
        <f>Table1[[#This Row],[Quantity_Sold]] * Table1[[#This Row],[Unit_Price]] * (1 - (Table1[[#This Row],[Discount]] / 100))</f>
        <v>42079.421663999645</v>
      </c>
      <c r="F326" s="2">
        <f>Table1[[#This Row],[Quantity_Sold]] * ((Table1[[#This Row],[Unit_Price]] * (1 - (Table1[[#This Row],[Discount]] / 100))) - Table1[[#This Row],[Unit_Cost]])</f>
        <v>10947.701663999642</v>
      </c>
      <c r="G326" s="3">
        <v>36</v>
      </c>
      <c r="H326" t="s">
        <v>26</v>
      </c>
      <c r="I326">
        <v>864.77</v>
      </c>
      <c r="J326" s="2">
        <v>1170.1599999999901</v>
      </c>
      <c r="K326" t="s">
        <v>17</v>
      </c>
      <c r="L326" s="4">
        <v>0.11</v>
      </c>
      <c r="M326" t="s">
        <v>18</v>
      </c>
      <c r="N326" t="s">
        <v>22</v>
      </c>
      <c r="O326" t="s">
        <v>50</v>
      </c>
    </row>
    <row r="327" spans="1:15" x14ac:dyDescent="0.25">
      <c r="A327" s="3">
        <v>1100</v>
      </c>
      <c r="B327" s="1">
        <v>45247</v>
      </c>
      <c r="C327" t="s">
        <v>14</v>
      </c>
      <c r="D327" t="s">
        <v>34</v>
      </c>
      <c r="E327" s="2">
        <f>Table1[[#This Row],[Quantity_Sold]] * Table1[[#This Row],[Unit_Price]] * (1 - (Table1[[#This Row],[Discount]] / 100))</f>
        <v>9521.1600120000021</v>
      </c>
      <c r="F327" s="2">
        <f>Table1[[#This Row],[Quantity_Sold]] * ((Table1[[#This Row],[Unit_Price]] * (1 - (Table1[[#This Row],[Discount]] / 100))) - Table1[[#This Row],[Unit_Cost]])</f>
        <v>4760.5600120000017</v>
      </c>
      <c r="G327" s="3">
        <v>13</v>
      </c>
      <c r="H327" t="s">
        <v>26</v>
      </c>
      <c r="I327">
        <v>366.2</v>
      </c>
      <c r="J327" s="2">
        <v>732.69</v>
      </c>
      <c r="K327" t="s">
        <v>30</v>
      </c>
      <c r="L327" s="4">
        <v>0.04</v>
      </c>
      <c r="M327" t="s">
        <v>18</v>
      </c>
      <c r="N327" t="s">
        <v>22</v>
      </c>
      <c r="O327" t="s">
        <v>46</v>
      </c>
    </row>
    <row r="328" spans="1:15" x14ac:dyDescent="0.25">
      <c r="A328" s="3">
        <v>1033</v>
      </c>
      <c r="B328" s="1">
        <v>45239</v>
      </c>
      <c r="C328" t="s">
        <v>24</v>
      </c>
      <c r="D328" t="s">
        <v>34</v>
      </c>
      <c r="E328" s="2">
        <f>Table1[[#This Row],[Quantity_Sold]] * Table1[[#This Row],[Unit_Price]] * (1 - (Table1[[#This Row],[Discount]] / 100))</f>
        <v>10112.85</v>
      </c>
      <c r="F328" s="2">
        <f>Table1[[#This Row],[Quantity_Sold]] * ((Table1[[#This Row],[Unit_Price]] * (1 - (Table1[[#This Row],[Discount]] / 100))) - Table1[[#This Row],[Unit_Cost]])</f>
        <v>386.4300000000012</v>
      </c>
      <c r="G328" s="3">
        <v>6</v>
      </c>
      <c r="H328" t="s">
        <v>29</v>
      </c>
      <c r="I328">
        <v>1621.07</v>
      </c>
      <c r="J328" s="2">
        <v>1687.5</v>
      </c>
      <c r="K328" t="s">
        <v>17</v>
      </c>
      <c r="L328" s="4">
        <v>0.12</v>
      </c>
      <c r="M328" t="s">
        <v>31</v>
      </c>
      <c r="N328" t="s">
        <v>19</v>
      </c>
      <c r="O328" t="s">
        <v>50</v>
      </c>
    </row>
    <row r="329" spans="1:15" x14ac:dyDescent="0.25">
      <c r="A329" s="3">
        <v>1068</v>
      </c>
      <c r="B329" s="1">
        <v>45173</v>
      </c>
      <c r="C329" t="s">
        <v>38</v>
      </c>
      <c r="D329" t="s">
        <v>34</v>
      </c>
      <c r="E329" s="2">
        <f>Table1[[#This Row],[Quantity_Sold]] * Table1[[#This Row],[Unit_Price]] * (1 - (Table1[[#This Row],[Discount]] / 100))</f>
        <v>20136.597207999999</v>
      </c>
      <c r="F329" s="2">
        <f>Table1[[#This Row],[Quantity_Sold]] * ((Table1[[#This Row],[Unit_Price]] * (1 - (Table1[[#This Row],[Discount]] / 100))) - Table1[[#This Row],[Unit_Cost]])</f>
        <v>4168.4772080000002</v>
      </c>
      <c r="G329" s="3">
        <v>14</v>
      </c>
      <c r="H329" t="s">
        <v>26</v>
      </c>
      <c r="I329">
        <v>1140.58</v>
      </c>
      <c r="J329" s="2">
        <v>1438.76</v>
      </c>
      <c r="K329" t="s">
        <v>17</v>
      </c>
      <c r="L329" s="4">
        <v>0.03</v>
      </c>
      <c r="M329" t="s">
        <v>27</v>
      </c>
      <c r="N329" t="s">
        <v>19</v>
      </c>
      <c r="O329" t="s">
        <v>48</v>
      </c>
    </row>
    <row r="330" spans="1:15" x14ac:dyDescent="0.25">
      <c r="A330" s="3">
        <v>1033</v>
      </c>
      <c r="B330" s="1">
        <v>45249</v>
      </c>
      <c r="C330" t="s">
        <v>24</v>
      </c>
      <c r="D330" t="s">
        <v>15</v>
      </c>
      <c r="E330" s="2">
        <f>Table1[[#This Row],[Quantity_Sold]] * Table1[[#This Row],[Unit_Price]] * (1 - (Table1[[#This Row],[Discount]] / 100))</f>
        <v>108505.31684700001</v>
      </c>
      <c r="F330" s="2">
        <f>Table1[[#This Row],[Quantity_Sold]] * ((Table1[[#This Row],[Unit_Price]] * (1 - (Table1[[#This Row],[Discount]] / 100))) - Table1[[#This Row],[Unit_Cost]])</f>
        <v>12277.196847000001</v>
      </c>
      <c r="G330" s="3">
        <v>37</v>
      </c>
      <c r="H330" t="s">
        <v>35</v>
      </c>
      <c r="I330">
        <v>2600.7600000000002</v>
      </c>
      <c r="J330" s="2">
        <v>2937.57</v>
      </c>
      <c r="K330" t="s">
        <v>30</v>
      </c>
      <c r="L330" s="4">
        <v>0.17</v>
      </c>
      <c r="M330" t="s">
        <v>31</v>
      </c>
      <c r="N330" t="s">
        <v>22</v>
      </c>
      <c r="O330" t="s">
        <v>45</v>
      </c>
    </row>
    <row r="331" spans="1:15" x14ac:dyDescent="0.25">
      <c r="A331" s="3">
        <v>1014</v>
      </c>
      <c r="B331" s="1">
        <v>45181</v>
      </c>
      <c r="C331" t="s">
        <v>33</v>
      </c>
      <c r="D331" t="s">
        <v>34</v>
      </c>
      <c r="E331" s="2">
        <f>Table1[[#This Row],[Quantity_Sold]] * Table1[[#This Row],[Unit_Price]] * (1 - (Table1[[#This Row],[Discount]] / 100))</f>
        <v>31920.167664000001</v>
      </c>
      <c r="F331" s="2">
        <f>Table1[[#This Row],[Quantity_Sold]] * ((Table1[[#This Row],[Unit_Price]] * (1 - (Table1[[#This Row],[Discount]] / 100))) - Table1[[#This Row],[Unit_Cost]])</f>
        <v>5197.607664000001</v>
      </c>
      <c r="G331" s="3">
        <v>48</v>
      </c>
      <c r="H331" t="s">
        <v>16</v>
      </c>
      <c r="I331">
        <v>556.72</v>
      </c>
      <c r="J331" s="2">
        <v>665.07</v>
      </c>
      <c r="K331" t="s">
        <v>17</v>
      </c>
      <c r="L331" s="4">
        <v>0.01</v>
      </c>
      <c r="M331" t="s">
        <v>27</v>
      </c>
      <c r="N331" t="s">
        <v>22</v>
      </c>
      <c r="O331" t="s">
        <v>36</v>
      </c>
    </row>
    <row r="332" spans="1:15" x14ac:dyDescent="0.25">
      <c r="A332" s="3">
        <v>1021</v>
      </c>
      <c r="B332" s="1">
        <v>45254</v>
      </c>
      <c r="C332" t="s">
        <v>38</v>
      </c>
      <c r="D332" t="s">
        <v>15</v>
      </c>
      <c r="E332" s="2">
        <f>Table1[[#This Row],[Quantity_Sold]] * Table1[[#This Row],[Unit_Price]] * (1 - (Table1[[#This Row],[Discount]] / 100))</f>
        <v>63087.148799999995</v>
      </c>
      <c r="F332" s="2">
        <f>Table1[[#This Row],[Quantity_Sold]] * ((Table1[[#This Row],[Unit_Price]] * (1 - (Table1[[#This Row],[Discount]] / 100))) - Table1[[#This Row],[Unit_Cost]])</f>
        <v>6518.0987999999961</v>
      </c>
      <c r="G332" s="3">
        <v>15</v>
      </c>
      <c r="H332" t="s">
        <v>26</v>
      </c>
      <c r="I332">
        <v>3771.27</v>
      </c>
      <c r="J332" s="2">
        <v>4212.55</v>
      </c>
      <c r="K332" t="s">
        <v>17</v>
      </c>
      <c r="L332" s="4">
        <v>0.16</v>
      </c>
      <c r="M332" t="s">
        <v>31</v>
      </c>
      <c r="N332" t="s">
        <v>22</v>
      </c>
      <c r="O332" t="s">
        <v>40</v>
      </c>
    </row>
    <row r="333" spans="1:15" x14ac:dyDescent="0.25">
      <c r="A333" s="3">
        <v>1048</v>
      </c>
      <c r="B333" s="1">
        <v>44980</v>
      </c>
      <c r="C333" t="s">
        <v>14</v>
      </c>
      <c r="D333" t="s">
        <v>21</v>
      </c>
      <c r="E333" s="2">
        <f>Table1[[#This Row],[Quantity_Sold]] * Table1[[#This Row],[Unit_Price]] * (1 - (Table1[[#This Row],[Discount]] / 100))</f>
        <v>217557.27507099998</v>
      </c>
      <c r="F333" s="2">
        <f>Table1[[#This Row],[Quantity_Sold]] * ((Table1[[#This Row],[Unit_Price]] * (1 - (Table1[[#This Row],[Discount]] / 100))) - Table1[[#This Row],[Unit_Cost]])</f>
        <v>4371.8550709999945</v>
      </c>
      <c r="G333" s="3">
        <v>47</v>
      </c>
      <c r="H333" t="s">
        <v>26</v>
      </c>
      <c r="I333">
        <v>4535.8599999999997</v>
      </c>
      <c r="J333" s="2">
        <v>4641.41</v>
      </c>
      <c r="K333" t="s">
        <v>30</v>
      </c>
      <c r="L333" s="4">
        <v>0.27</v>
      </c>
      <c r="M333" t="s">
        <v>31</v>
      </c>
      <c r="N333" t="s">
        <v>22</v>
      </c>
      <c r="O333" t="s">
        <v>23</v>
      </c>
    </row>
    <row r="334" spans="1:15" x14ac:dyDescent="0.25">
      <c r="A334" s="3">
        <v>1020</v>
      </c>
      <c r="B334" s="1">
        <v>45175</v>
      </c>
      <c r="C334" t="s">
        <v>33</v>
      </c>
      <c r="D334" t="s">
        <v>34</v>
      </c>
      <c r="E334" s="2">
        <f>Table1[[#This Row],[Quantity_Sold]] * Table1[[#This Row],[Unit_Price]] * (1 - (Table1[[#This Row],[Discount]] / 100))</f>
        <v>15535.464</v>
      </c>
      <c r="F334" s="2">
        <f>Table1[[#This Row],[Quantity_Sold]] * ((Table1[[#This Row],[Unit_Price]] * (1 - (Table1[[#This Row],[Discount]] / 100))) - Table1[[#This Row],[Unit_Cost]])</f>
        <v>615.46399999999994</v>
      </c>
      <c r="G334" s="3">
        <v>4</v>
      </c>
      <c r="H334" t="s">
        <v>29</v>
      </c>
      <c r="I334">
        <v>3730</v>
      </c>
      <c r="J334" s="2">
        <v>3893.6</v>
      </c>
      <c r="K334" t="s">
        <v>30</v>
      </c>
      <c r="L334" s="4">
        <v>0.25</v>
      </c>
      <c r="M334" t="s">
        <v>27</v>
      </c>
      <c r="N334" t="s">
        <v>22</v>
      </c>
      <c r="O334" t="s">
        <v>36</v>
      </c>
    </row>
    <row r="335" spans="1:15" x14ac:dyDescent="0.25">
      <c r="A335" s="3">
        <v>1008</v>
      </c>
      <c r="B335" s="1">
        <v>45165</v>
      </c>
      <c r="C335" t="s">
        <v>24</v>
      </c>
      <c r="D335" t="s">
        <v>25</v>
      </c>
      <c r="E335" s="2">
        <f>Table1[[#This Row],[Quantity_Sold]] * Table1[[#This Row],[Unit_Price]] * (1 - (Table1[[#This Row],[Discount]] / 100))</f>
        <v>119750.23775999999</v>
      </c>
      <c r="F335" s="2">
        <f>Table1[[#This Row],[Quantity_Sold]] * ((Table1[[#This Row],[Unit_Price]] * (1 - (Table1[[#This Row],[Discount]] / 100))) - Table1[[#This Row],[Unit_Cost]])</f>
        <v>12250.637760000009</v>
      </c>
      <c r="G335" s="3">
        <v>40</v>
      </c>
      <c r="H335" t="s">
        <v>29</v>
      </c>
      <c r="I335">
        <v>2687.49</v>
      </c>
      <c r="J335" s="2">
        <v>3001.56</v>
      </c>
      <c r="K335" t="s">
        <v>17</v>
      </c>
      <c r="L335" s="4">
        <v>0.26</v>
      </c>
      <c r="M335" t="s">
        <v>27</v>
      </c>
      <c r="N335" t="s">
        <v>19</v>
      </c>
      <c r="O335" t="s">
        <v>28</v>
      </c>
    </row>
    <row r="336" spans="1:15" x14ac:dyDescent="0.25">
      <c r="A336" s="3">
        <v>1007</v>
      </c>
      <c r="B336" s="1">
        <v>45155</v>
      </c>
      <c r="C336" t="s">
        <v>38</v>
      </c>
      <c r="D336" t="s">
        <v>34</v>
      </c>
      <c r="E336" s="2">
        <f>Table1[[#This Row],[Quantity_Sold]] * Table1[[#This Row],[Unit_Price]] * (1 - (Table1[[#This Row],[Discount]] / 100))</f>
        <v>73922.037120000008</v>
      </c>
      <c r="F336" s="2">
        <f>Table1[[#This Row],[Quantity_Sold]] * ((Table1[[#This Row],[Unit_Price]] * (1 - (Table1[[#This Row],[Discount]] / 100))) - Table1[[#This Row],[Unit_Cost]])</f>
        <v>4957.0771200000017</v>
      </c>
      <c r="G336" s="3">
        <v>16</v>
      </c>
      <c r="H336" t="s">
        <v>16</v>
      </c>
      <c r="I336">
        <v>4310.3100000000004</v>
      </c>
      <c r="J336" s="2">
        <v>4633.1000000000004</v>
      </c>
      <c r="K336" t="s">
        <v>30</v>
      </c>
      <c r="L336" s="4">
        <v>0.28000000000000003</v>
      </c>
      <c r="M336" t="s">
        <v>31</v>
      </c>
      <c r="N336" t="s">
        <v>22</v>
      </c>
      <c r="O336" t="s">
        <v>48</v>
      </c>
    </row>
    <row r="337" spans="1:15" x14ac:dyDescent="0.25">
      <c r="A337" s="3">
        <v>1067</v>
      </c>
      <c r="B337" s="1">
        <v>44993</v>
      </c>
      <c r="C337" t="s">
        <v>14</v>
      </c>
      <c r="D337" t="s">
        <v>34</v>
      </c>
      <c r="E337" s="2">
        <f>Table1[[#This Row],[Quantity_Sold]] * Table1[[#This Row],[Unit_Price]] * (1 - (Table1[[#This Row],[Discount]] / 100))</f>
        <v>107559.12257999973</v>
      </c>
      <c r="F337" s="2">
        <f>Table1[[#This Row],[Quantity_Sold]] * ((Table1[[#This Row],[Unit_Price]] * (1 - (Table1[[#This Row],[Discount]] / 100))) - Table1[[#This Row],[Unit_Cost]])</f>
        <v>9843.3225799997326</v>
      </c>
      <c r="G337" s="3">
        <v>28</v>
      </c>
      <c r="H337" t="s">
        <v>35</v>
      </c>
      <c r="I337">
        <v>3489.85</v>
      </c>
      <c r="J337" s="2">
        <v>3842.5499999999902</v>
      </c>
      <c r="K337" t="s">
        <v>30</v>
      </c>
      <c r="L337" s="4">
        <v>0.03</v>
      </c>
      <c r="M337" t="s">
        <v>27</v>
      </c>
      <c r="N337" t="s">
        <v>19</v>
      </c>
      <c r="O337" t="s">
        <v>46</v>
      </c>
    </row>
    <row r="338" spans="1:15" x14ac:dyDescent="0.25">
      <c r="A338" s="3">
        <v>1017</v>
      </c>
      <c r="B338" s="1">
        <v>44977</v>
      </c>
      <c r="C338" t="s">
        <v>33</v>
      </c>
      <c r="D338" t="s">
        <v>15</v>
      </c>
      <c r="E338" s="2">
        <f>Table1[[#This Row],[Quantity_Sold]] * Table1[[#This Row],[Unit_Price]] * (1 - (Table1[[#This Row],[Discount]] / 100))</f>
        <v>2672.8504320000002</v>
      </c>
      <c r="F338" s="2">
        <f>Table1[[#This Row],[Quantity_Sold]] * ((Table1[[#This Row],[Unit_Price]] * (1 - (Table1[[#This Row],[Discount]] / 100))) - Table1[[#This Row],[Unit_Cost]])</f>
        <v>1037.1704320000001</v>
      </c>
      <c r="G338" s="3">
        <v>16</v>
      </c>
      <c r="H338" t="s">
        <v>16</v>
      </c>
      <c r="I338">
        <v>102.23</v>
      </c>
      <c r="J338" s="2">
        <v>167.12</v>
      </c>
      <c r="K338" t="s">
        <v>30</v>
      </c>
      <c r="L338" s="4">
        <v>0.04</v>
      </c>
      <c r="M338" t="s">
        <v>31</v>
      </c>
      <c r="N338" t="s">
        <v>22</v>
      </c>
      <c r="O338" t="s">
        <v>53</v>
      </c>
    </row>
    <row r="339" spans="1:15" x14ac:dyDescent="0.25">
      <c r="A339" s="3">
        <v>1033</v>
      </c>
      <c r="B339" s="1">
        <v>45023</v>
      </c>
      <c r="C339" t="s">
        <v>14</v>
      </c>
      <c r="D339" t="s">
        <v>34</v>
      </c>
      <c r="E339" s="2">
        <f>Table1[[#This Row],[Quantity_Sold]] * Table1[[#This Row],[Unit_Price]] * (1 - (Table1[[#This Row],[Discount]] / 100))</f>
        <v>9691.4564679999985</v>
      </c>
      <c r="F339" s="2">
        <f>Table1[[#This Row],[Quantity_Sold]] * ((Table1[[#This Row],[Unit_Price]] * (1 - (Table1[[#This Row],[Discount]] / 100))) - Table1[[#This Row],[Unit_Cost]])</f>
        <v>1688.4564679999985</v>
      </c>
      <c r="G339" s="3">
        <v>4</v>
      </c>
      <c r="H339" t="s">
        <v>26</v>
      </c>
      <c r="I339">
        <v>2000.75</v>
      </c>
      <c r="J339" s="2">
        <v>2426.9899999999998</v>
      </c>
      <c r="K339" t="s">
        <v>17</v>
      </c>
      <c r="L339" s="4">
        <v>0.17</v>
      </c>
      <c r="M339" t="s">
        <v>27</v>
      </c>
      <c r="N339" t="s">
        <v>19</v>
      </c>
      <c r="O339" t="s">
        <v>46</v>
      </c>
    </row>
    <row r="340" spans="1:15" x14ac:dyDescent="0.25">
      <c r="A340" s="3">
        <v>1048</v>
      </c>
      <c r="B340" s="1">
        <v>45018</v>
      </c>
      <c r="C340" t="s">
        <v>24</v>
      </c>
      <c r="D340" t="s">
        <v>25</v>
      </c>
      <c r="E340" s="2">
        <f>Table1[[#This Row],[Quantity_Sold]] * Table1[[#This Row],[Unit_Price]] * (1 - (Table1[[#This Row],[Discount]] / 100))</f>
        <v>203448.15283500002</v>
      </c>
      <c r="F340" s="2">
        <f>Table1[[#This Row],[Quantity_Sold]] * ((Table1[[#This Row],[Unit_Price]] * (1 - (Table1[[#This Row],[Discount]] / 100))) - Table1[[#This Row],[Unit_Cost]])</f>
        <v>11648.702835000004</v>
      </c>
      <c r="G340" s="3">
        <v>45</v>
      </c>
      <c r="H340" t="s">
        <v>35</v>
      </c>
      <c r="I340">
        <v>4262.21</v>
      </c>
      <c r="J340" s="2">
        <v>4533.3100000000004</v>
      </c>
      <c r="K340" t="s">
        <v>17</v>
      </c>
      <c r="L340" s="4">
        <v>0.27</v>
      </c>
      <c r="M340" t="s">
        <v>31</v>
      </c>
      <c r="N340" t="s">
        <v>19</v>
      </c>
      <c r="O340" t="s">
        <v>28</v>
      </c>
    </row>
    <row r="341" spans="1:15" x14ac:dyDescent="0.25">
      <c r="A341" s="3">
        <v>1076</v>
      </c>
      <c r="B341" s="1">
        <v>45190</v>
      </c>
      <c r="C341" t="s">
        <v>14</v>
      </c>
      <c r="D341" t="s">
        <v>15</v>
      </c>
      <c r="E341" s="2">
        <f>Table1[[#This Row],[Quantity_Sold]] * Table1[[#This Row],[Unit_Price]] * (1 - (Table1[[#This Row],[Discount]] / 100))</f>
        <v>51925.677570000007</v>
      </c>
      <c r="F341" s="2">
        <f>Table1[[#This Row],[Quantity_Sold]] * ((Table1[[#This Row],[Unit_Price]] * (1 - (Table1[[#This Row],[Discount]] / 100))) - Table1[[#This Row],[Unit_Cost]])</f>
        <v>6113.6775699999998</v>
      </c>
      <c r="G341" s="3">
        <v>26</v>
      </c>
      <c r="H341" t="s">
        <v>35</v>
      </c>
      <c r="I341">
        <v>1762</v>
      </c>
      <c r="J341" s="2">
        <v>2002.95</v>
      </c>
      <c r="K341" t="s">
        <v>17</v>
      </c>
      <c r="L341" s="4">
        <v>0.28999999999999998</v>
      </c>
      <c r="M341" t="s">
        <v>31</v>
      </c>
      <c r="N341" t="s">
        <v>22</v>
      </c>
      <c r="O341" t="s">
        <v>20</v>
      </c>
    </row>
    <row r="342" spans="1:15" x14ac:dyDescent="0.25">
      <c r="A342" s="3">
        <v>1059</v>
      </c>
      <c r="B342" s="1">
        <v>45217</v>
      </c>
      <c r="C342" t="s">
        <v>42</v>
      </c>
      <c r="D342" t="s">
        <v>15</v>
      </c>
      <c r="E342" s="2">
        <f>Table1[[#This Row],[Quantity_Sold]] * Table1[[#This Row],[Unit_Price]] * (1 - (Table1[[#This Row],[Discount]] / 100))</f>
        <v>20019.677832000001</v>
      </c>
      <c r="F342" s="2">
        <f>Table1[[#This Row],[Quantity_Sold]] * ((Table1[[#This Row],[Unit_Price]] * (1 - (Table1[[#This Row],[Discount]] / 100))) - Table1[[#This Row],[Unit_Cost]])</f>
        <v>13738.717831999998</v>
      </c>
      <c r="G342" s="3">
        <v>28</v>
      </c>
      <c r="H342" t="s">
        <v>35</v>
      </c>
      <c r="I342">
        <v>224.32</v>
      </c>
      <c r="J342" s="2">
        <v>715.06</v>
      </c>
      <c r="K342" t="s">
        <v>17</v>
      </c>
      <c r="L342" s="4">
        <v>0.01</v>
      </c>
      <c r="M342" t="s">
        <v>31</v>
      </c>
      <c r="N342" t="s">
        <v>19</v>
      </c>
      <c r="O342" t="s">
        <v>49</v>
      </c>
    </row>
    <row r="343" spans="1:15" x14ac:dyDescent="0.25">
      <c r="A343" s="3">
        <v>1086</v>
      </c>
      <c r="B343" s="1">
        <v>45022</v>
      </c>
      <c r="C343" t="s">
        <v>33</v>
      </c>
      <c r="D343" t="s">
        <v>21</v>
      </c>
      <c r="E343" s="2">
        <f>Table1[[#This Row],[Quantity_Sold]] * Table1[[#This Row],[Unit_Price]] * (1 - (Table1[[#This Row],[Discount]] / 100))</f>
        <v>131579.263424</v>
      </c>
      <c r="F343" s="2">
        <f>Table1[[#This Row],[Quantity_Sold]] * ((Table1[[#This Row],[Unit_Price]] * (1 - (Table1[[#This Row],[Discount]] / 100))) - Table1[[#This Row],[Unit_Cost]])</f>
        <v>11784.383424</v>
      </c>
      <c r="G343" s="3">
        <v>32</v>
      </c>
      <c r="H343" t="s">
        <v>35</v>
      </c>
      <c r="I343">
        <v>3743.59</v>
      </c>
      <c r="J343" s="2">
        <v>4116.38</v>
      </c>
      <c r="K343" t="s">
        <v>17</v>
      </c>
      <c r="L343" s="4">
        <v>0.11</v>
      </c>
      <c r="M343" t="s">
        <v>18</v>
      </c>
      <c r="N343" t="s">
        <v>19</v>
      </c>
      <c r="O343" t="s">
        <v>37</v>
      </c>
    </row>
    <row r="344" spans="1:15" x14ac:dyDescent="0.25">
      <c r="A344" s="3">
        <v>1022</v>
      </c>
      <c r="B344" s="1">
        <v>45014</v>
      </c>
      <c r="C344" t="s">
        <v>14</v>
      </c>
      <c r="D344" t="s">
        <v>21</v>
      </c>
      <c r="E344" s="2">
        <f>Table1[[#This Row],[Quantity_Sold]] * Table1[[#This Row],[Unit_Price]] * (1 - (Table1[[#This Row],[Discount]] / 100))</f>
        <v>183845.57642999999</v>
      </c>
      <c r="F344" s="2">
        <f>Table1[[#This Row],[Quantity_Sold]] * ((Table1[[#This Row],[Unit_Price]] * (1 - (Table1[[#This Row],[Discount]] / 100))) - Table1[[#This Row],[Unit_Cost]])</f>
        <v>2941.5264299999694</v>
      </c>
      <c r="G344" s="3">
        <v>45</v>
      </c>
      <c r="H344" t="s">
        <v>16</v>
      </c>
      <c r="I344">
        <v>4020.09</v>
      </c>
      <c r="J344" s="2">
        <v>4087.91</v>
      </c>
      <c r="K344" t="s">
        <v>17</v>
      </c>
      <c r="L344" s="4">
        <v>0.06</v>
      </c>
      <c r="M344" t="s">
        <v>27</v>
      </c>
      <c r="N344" t="s">
        <v>19</v>
      </c>
      <c r="O344" t="s">
        <v>23</v>
      </c>
    </row>
    <row r="345" spans="1:15" x14ac:dyDescent="0.25">
      <c r="A345" s="3">
        <v>1030</v>
      </c>
      <c r="B345" s="1">
        <v>45004</v>
      </c>
      <c r="C345" t="s">
        <v>24</v>
      </c>
      <c r="D345" t="s">
        <v>34</v>
      </c>
      <c r="E345" s="2">
        <f>Table1[[#This Row],[Quantity_Sold]] * Table1[[#This Row],[Unit_Price]] * (1 - (Table1[[#This Row],[Discount]] / 100))</f>
        <v>2445.6420560000001</v>
      </c>
      <c r="F345" s="2">
        <f>Table1[[#This Row],[Quantity_Sold]] * ((Table1[[#This Row],[Unit_Price]] * (1 - (Table1[[#This Row],[Discount]] / 100))) - Table1[[#This Row],[Unit_Cost]])</f>
        <v>755.76205600000003</v>
      </c>
      <c r="G345" s="3">
        <v>2</v>
      </c>
      <c r="H345" t="s">
        <v>29</v>
      </c>
      <c r="I345">
        <v>844.94</v>
      </c>
      <c r="J345" s="2">
        <v>1225.6400000000001</v>
      </c>
      <c r="K345" t="s">
        <v>17</v>
      </c>
      <c r="L345" s="4">
        <v>0.23</v>
      </c>
      <c r="M345" t="s">
        <v>31</v>
      </c>
      <c r="N345" t="s">
        <v>19</v>
      </c>
      <c r="O345" t="s">
        <v>50</v>
      </c>
    </row>
    <row r="346" spans="1:15" x14ac:dyDescent="0.25">
      <c r="A346" s="3">
        <v>1038</v>
      </c>
      <c r="B346" s="1">
        <v>45214</v>
      </c>
      <c r="C346" t="s">
        <v>24</v>
      </c>
      <c r="D346" t="s">
        <v>21</v>
      </c>
      <c r="E346" s="2">
        <f>Table1[[#This Row],[Quantity_Sold]] * Table1[[#This Row],[Unit_Price]] * (1 - (Table1[[#This Row],[Discount]] / 100))</f>
        <v>85598.862561000016</v>
      </c>
      <c r="F346" s="2">
        <f>Table1[[#This Row],[Quantity_Sold]] * ((Table1[[#This Row],[Unit_Price]] * (1 - (Table1[[#This Row],[Discount]] / 100))) - Table1[[#This Row],[Unit_Cost]])</f>
        <v>1593.8225609999968</v>
      </c>
      <c r="G346" s="3">
        <v>31</v>
      </c>
      <c r="H346" t="s">
        <v>29</v>
      </c>
      <c r="I346">
        <v>2709.84</v>
      </c>
      <c r="J346" s="2">
        <v>2766.51</v>
      </c>
      <c r="K346" t="s">
        <v>30</v>
      </c>
      <c r="L346" s="4">
        <v>0.19</v>
      </c>
      <c r="M346" t="s">
        <v>18</v>
      </c>
      <c r="N346" t="s">
        <v>22</v>
      </c>
      <c r="O346" t="s">
        <v>47</v>
      </c>
    </row>
    <row r="347" spans="1:15" x14ac:dyDescent="0.25">
      <c r="A347" s="3">
        <v>1051</v>
      </c>
      <c r="B347" s="1">
        <v>45046</v>
      </c>
      <c r="C347" t="s">
        <v>14</v>
      </c>
      <c r="D347" t="s">
        <v>21</v>
      </c>
      <c r="E347" s="2">
        <f>Table1[[#This Row],[Quantity_Sold]] * Table1[[#This Row],[Unit_Price]] * (1 - (Table1[[#This Row],[Discount]] / 100))</f>
        <v>3069.691632</v>
      </c>
      <c r="F347" s="2">
        <f>Table1[[#This Row],[Quantity_Sold]] * ((Table1[[#This Row],[Unit_Price]] * (1 - (Table1[[#This Row],[Discount]] / 100))) - Table1[[#This Row],[Unit_Cost]])</f>
        <v>69.151632000000177</v>
      </c>
      <c r="G347" s="3">
        <v>3</v>
      </c>
      <c r="H347" t="s">
        <v>26</v>
      </c>
      <c r="I347">
        <v>1000.18</v>
      </c>
      <c r="J347" s="2">
        <v>1023.64</v>
      </c>
      <c r="K347" t="s">
        <v>17</v>
      </c>
      <c r="L347" s="4">
        <v>0.04</v>
      </c>
      <c r="M347" t="s">
        <v>31</v>
      </c>
      <c r="N347" t="s">
        <v>19</v>
      </c>
      <c r="O347" t="s">
        <v>23</v>
      </c>
    </row>
    <row r="348" spans="1:15" x14ac:dyDescent="0.25">
      <c r="A348" s="3">
        <v>1054</v>
      </c>
      <c r="B348" s="1">
        <v>45228</v>
      </c>
      <c r="C348" t="s">
        <v>24</v>
      </c>
      <c r="D348" t="s">
        <v>21</v>
      </c>
      <c r="E348" s="2">
        <f>Table1[[#This Row],[Quantity_Sold]] * Table1[[#This Row],[Unit_Price]] * (1 - (Table1[[#This Row],[Discount]] / 100))</f>
        <v>30498.10412</v>
      </c>
      <c r="F348" s="2">
        <f>Table1[[#This Row],[Quantity_Sold]] * ((Table1[[#This Row],[Unit_Price]] * (1 - (Table1[[#This Row],[Discount]] / 100))) - Table1[[#This Row],[Unit_Cost]])</f>
        <v>1616.4241199999997</v>
      </c>
      <c r="G348" s="3">
        <v>8</v>
      </c>
      <c r="H348" t="s">
        <v>29</v>
      </c>
      <c r="I348">
        <v>3610.21</v>
      </c>
      <c r="J348" s="2">
        <v>3817.99</v>
      </c>
      <c r="K348" t="s">
        <v>17</v>
      </c>
      <c r="L348" s="4">
        <v>0.15</v>
      </c>
      <c r="M348" t="s">
        <v>18</v>
      </c>
      <c r="N348" t="s">
        <v>22</v>
      </c>
      <c r="O348" t="s">
        <v>47</v>
      </c>
    </row>
    <row r="349" spans="1:15" x14ac:dyDescent="0.25">
      <c r="A349" s="3">
        <v>1008</v>
      </c>
      <c r="B349" s="1">
        <v>45091</v>
      </c>
      <c r="C349" t="s">
        <v>38</v>
      </c>
      <c r="D349" t="s">
        <v>15</v>
      </c>
      <c r="E349" s="2">
        <f>Table1[[#This Row],[Quantity_Sold]] * Table1[[#This Row],[Unit_Price]] * (1 - (Table1[[#This Row],[Discount]] / 100))</f>
        <v>45289.172591999995</v>
      </c>
      <c r="F349" s="2">
        <f>Table1[[#This Row],[Quantity_Sold]] * ((Table1[[#This Row],[Unit_Price]] * (1 - (Table1[[#This Row],[Discount]] / 100))) - Table1[[#This Row],[Unit_Cost]])</f>
        <v>11829.092592000001</v>
      </c>
      <c r="G349" s="3">
        <v>24</v>
      </c>
      <c r="H349" t="s">
        <v>29</v>
      </c>
      <c r="I349">
        <v>1394.17</v>
      </c>
      <c r="J349" s="2">
        <v>1891.02</v>
      </c>
      <c r="K349" t="s">
        <v>30</v>
      </c>
      <c r="L349" s="4">
        <v>0.21</v>
      </c>
      <c r="M349" t="s">
        <v>31</v>
      </c>
      <c r="N349" t="s">
        <v>19</v>
      </c>
      <c r="O349" t="s">
        <v>40</v>
      </c>
    </row>
    <row r="350" spans="1:15" x14ac:dyDescent="0.25">
      <c r="A350" s="3">
        <v>1027</v>
      </c>
      <c r="B350" s="1">
        <v>45108</v>
      </c>
      <c r="C350" t="s">
        <v>38</v>
      </c>
      <c r="D350" t="s">
        <v>15</v>
      </c>
      <c r="E350" s="2">
        <f>Table1[[#This Row],[Quantity_Sold]] * Table1[[#This Row],[Unit_Price]] * (1 - (Table1[[#This Row],[Discount]] / 100))</f>
        <v>25605.222225000001</v>
      </c>
      <c r="F350" s="2">
        <f>Table1[[#This Row],[Quantity_Sold]] * ((Table1[[#This Row],[Unit_Price]] * (1 - (Table1[[#This Row],[Discount]] / 100))) - Table1[[#This Row],[Unit_Cost]])</f>
        <v>1376.3222250000001</v>
      </c>
      <c r="G350" s="3">
        <v>15</v>
      </c>
      <c r="H350" t="s">
        <v>29</v>
      </c>
      <c r="I350">
        <v>1615.26</v>
      </c>
      <c r="J350" s="2">
        <v>1710.95</v>
      </c>
      <c r="K350" t="s">
        <v>30</v>
      </c>
      <c r="L350" s="4">
        <v>0.23</v>
      </c>
      <c r="M350" t="s">
        <v>31</v>
      </c>
      <c r="N350" t="s">
        <v>22</v>
      </c>
      <c r="O350" t="s">
        <v>40</v>
      </c>
    </row>
    <row r="351" spans="1:15" x14ac:dyDescent="0.25">
      <c r="A351" s="3">
        <v>1027</v>
      </c>
      <c r="B351" s="1">
        <v>45149</v>
      </c>
      <c r="C351" t="s">
        <v>38</v>
      </c>
      <c r="D351" t="s">
        <v>15</v>
      </c>
      <c r="E351" s="2">
        <f>Table1[[#This Row],[Quantity_Sold]] * Table1[[#This Row],[Unit_Price]] * (1 - (Table1[[#This Row],[Discount]] / 100))</f>
        <v>196585.36949700001</v>
      </c>
      <c r="F351" s="2">
        <f>Table1[[#This Row],[Quantity_Sold]] * ((Table1[[#This Row],[Unit_Price]] * (1 - (Table1[[#This Row],[Discount]] / 100))) - Table1[[#This Row],[Unit_Cost]])</f>
        <v>14583.139497000029</v>
      </c>
      <c r="G351" s="3">
        <v>43</v>
      </c>
      <c r="H351" t="s">
        <v>29</v>
      </c>
      <c r="I351">
        <v>4232.6099999999997</v>
      </c>
      <c r="J351" s="2">
        <v>4572.21</v>
      </c>
      <c r="K351" t="s">
        <v>30</v>
      </c>
      <c r="L351" s="4">
        <v>0.01</v>
      </c>
      <c r="M351" t="s">
        <v>18</v>
      </c>
      <c r="N351" t="s">
        <v>22</v>
      </c>
      <c r="O351" t="s">
        <v>40</v>
      </c>
    </row>
    <row r="352" spans="1:15" x14ac:dyDescent="0.25">
      <c r="A352" s="3">
        <v>1098</v>
      </c>
      <c r="B352" s="1">
        <v>45237</v>
      </c>
      <c r="C352" t="s">
        <v>42</v>
      </c>
      <c r="D352" t="s">
        <v>21</v>
      </c>
      <c r="E352" s="2">
        <f>Table1[[#This Row],[Quantity_Sold]] * Table1[[#This Row],[Unit_Price]] * (1 - (Table1[[#This Row],[Discount]] / 100))</f>
        <v>77376.078988000008</v>
      </c>
      <c r="F352" s="2">
        <f>Table1[[#This Row],[Quantity_Sold]] * ((Table1[[#This Row],[Unit_Price]] * (1 - (Table1[[#This Row],[Discount]] / 100))) - Table1[[#This Row],[Unit_Cost]])</f>
        <v>2734.2789879999923</v>
      </c>
      <c r="G352" s="3">
        <v>31</v>
      </c>
      <c r="H352" t="s">
        <v>26</v>
      </c>
      <c r="I352">
        <v>2407.8000000000002</v>
      </c>
      <c r="J352" s="2">
        <v>2502.7600000000002</v>
      </c>
      <c r="K352" t="s">
        <v>17</v>
      </c>
      <c r="L352" s="4">
        <v>0.27</v>
      </c>
      <c r="M352" t="s">
        <v>18</v>
      </c>
      <c r="N352" t="s">
        <v>22</v>
      </c>
      <c r="O352" t="s">
        <v>51</v>
      </c>
    </row>
    <row r="353" spans="1:15" x14ac:dyDescent="0.25">
      <c r="A353" s="3">
        <v>1021</v>
      </c>
      <c r="B353" s="1">
        <v>44933</v>
      </c>
      <c r="C353" t="s">
        <v>14</v>
      </c>
      <c r="D353" t="s">
        <v>15</v>
      </c>
      <c r="E353" s="2">
        <f>Table1[[#This Row],[Quantity_Sold]] * Table1[[#This Row],[Unit_Price]] * (1 - (Table1[[#This Row],[Discount]] / 100))</f>
        <v>33516.794420999991</v>
      </c>
      <c r="F353" s="2">
        <f>Table1[[#This Row],[Quantity_Sold]] * ((Table1[[#This Row],[Unit_Price]] * (1 - (Table1[[#This Row],[Discount]] / 100))) - Table1[[#This Row],[Unit_Cost]])</f>
        <v>3229.2744209999969</v>
      </c>
      <c r="G353" s="3">
        <v>9</v>
      </c>
      <c r="H353" t="s">
        <v>16</v>
      </c>
      <c r="I353">
        <v>3365.28</v>
      </c>
      <c r="J353" s="2">
        <v>3730.43</v>
      </c>
      <c r="K353" t="s">
        <v>30</v>
      </c>
      <c r="L353" s="4">
        <v>0.17</v>
      </c>
      <c r="M353" t="s">
        <v>27</v>
      </c>
      <c r="N353" t="s">
        <v>19</v>
      </c>
      <c r="O353" t="s">
        <v>20</v>
      </c>
    </row>
    <row r="354" spans="1:15" x14ac:dyDescent="0.25">
      <c r="A354" s="3">
        <v>1030</v>
      </c>
      <c r="B354" s="1">
        <v>45256</v>
      </c>
      <c r="C354" t="s">
        <v>42</v>
      </c>
      <c r="D354" t="s">
        <v>21</v>
      </c>
      <c r="E354" s="2">
        <f>Table1[[#This Row],[Quantity_Sold]] * Table1[[#This Row],[Unit_Price]] * (1 - (Table1[[#This Row],[Discount]] / 100))</f>
        <v>89460.208967999992</v>
      </c>
      <c r="F354" s="2">
        <f>Table1[[#This Row],[Quantity_Sold]] * ((Table1[[#This Row],[Unit_Price]] * (1 - (Table1[[#This Row],[Discount]] / 100))) - Table1[[#This Row],[Unit_Cost]])</f>
        <v>9831.9589680000063</v>
      </c>
      <c r="G354" s="3">
        <v>39</v>
      </c>
      <c r="H354" t="s">
        <v>35</v>
      </c>
      <c r="I354">
        <v>2041.75</v>
      </c>
      <c r="J354" s="2">
        <v>2299.37</v>
      </c>
      <c r="K354" t="s">
        <v>17</v>
      </c>
      <c r="L354" s="4">
        <v>0.24</v>
      </c>
      <c r="M354" t="s">
        <v>27</v>
      </c>
      <c r="N354" t="s">
        <v>22</v>
      </c>
      <c r="O354" t="s">
        <v>51</v>
      </c>
    </row>
    <row r="355" spans="1:15" x14ac:dyDescent="0.25">
      <c r="A355" s="3">
        <v>1097</v>
      </c>
      <c r="B355" s="1">
        <v>45189</v>
      </c>
      <c r="C355" t="s">
        <v>24</v>
      </c>
      <c r="D355" t="s">
        <v>15</v>
      </c>
      <c r="E355" s="2">
        <f>Table1[[#This Row],[Quantity_Sold]] * Table1[[#This Row],[Unit_Price]] * (1 - (Table1[[#This Row],[Discount]] / 100))</f>
        <v>83872.621440000003</v>
      </c>
      <c r="F355" s="2">
        <f>Table1[[#This Row],[Quantity_Sold]] * ((Table1[[#This Row],[Unit_Price]] * (1 - (Table1[[#This Row],[Discount]] / 100))) - Table1[[#This Row],[Unit_Cost]])</f>
        <v>15241.771439999991</v>
      </c>
      <c r="G355" s="3">
        <v>45</v>
      </c>
      <c r="H355" t="s">
        <v>29</v>
      </c>
      <c r="I355">
        <v>1525.13</v>
      </c>
      <c r="J355" s="2">
        <v>1868.32</v>
      </c>
      <c r="K355" t="s">
        <v>17</v>
      </c>
      <c r="L355" s="4">
        <v>0.24</v>
      </c>
      <c r="M355" t="s">
        <v>18</v>
      </c>
      <c r="N355" t="s">
        <v>22</v>
      </c>
      <c r="O355" t="s">
        <v>45</v>
      </c>
    </row>
    <row r="356" spans="1:15" x14ac:dyDescent="0.25">
      <c r="A356" s="3">
        <v>1028</v>
      </c>
      <c r="B356" s="1">
        <v>45087</v>
      </c>
      <c r="C356" t="s">
        <v>42</v>
      </c>
      <c r="D356" t="s">
        <v>15</v>
      </c>
      <c r="E356" s="2">
        <f>Table1[[#This Row],[Quantity_Sold]] * Table1[[#This Row],[Unit_Price]] * (1 - (Table1[[#This Row],[Discount]] / 100))</f>
        <v>6507.1533639999798</v>
      </c>
      <c r="F356" s="2">
        <f>Table1[[#This Row],[Quantity_Sold]] * ((Table1[[#This Row],[Unit_Price]] * (1 - (Table1[[#This Row],[Discount]] / 100))) - Table1[[#This Row],[Unit_Cost]])</f>
        <v>214.91336399997999</v>
      </c>
      <c r="G356" s="3">
        <v>2</v>
      </c>
      <c r="H356" t="s">
        <v>16</v>
      </c>
      <c r="I356">
        <v>3146.12</v>
      </c>
      <c r="J356" s="2">
        <v>3255.5299999999902</v>
      </c>
      <c r="K356" t="s">
        <v>17</v>
      </c>
      <c r="L356" s="4">
        <v>0.06</v>
      </c>
      <c r="M356" t="s">
        <v>27</v>
      </c>
      <c r="N356" t="s">
        <v>19</v>
      </c>
      <c r="O356" t="s">
        <v>49</v>
      </c>
    </row>
    <row r="357" spans="1:15" x14ac:dyDescent="0.25">
      <c r="A357" s="3">
        <v>1064</v>
      </c>
      <c r="B357" s="1">
        <v>45077</v>
      </c>
      <c r="C357" t="s">
        <v>24</v>
      </c>
      <c r="D357" t="s">
        <v>25</v>
      </c>
      <c r="E357" s="2">
        <f>Table1[[#This Row],[Quantity_Sold]] * Table1[[#This Row],[Unit_Price]] * (1 - (Table1[[#This Row],[Discount]] / 100))</f>
        <v>9532.3394400000016</v>
      </c>
      <c r="F357" s="2">
        <f>Table1[[#This Row],[Quantity_Sold]] * ((Table1[[#This Row],[Unit_Price]] * (1 - (Table1[[#This Row],[Discount]] / 100))) - Table1[[#This Row],[Unit_Cost]])</f>
        <v>3000.0194400000019</v>
      </c>
      <c r="G357" s="3">
        <v>8</v>
      </c>
      <c r="H357" t="s">
        <v>29</v>
      </c>
      <c r="I357">
        <v>816.54</v>
      </c>
      <c r="J357" s="2">
        <v>1191.9000000000001</v>
      </c>
      <c r="K357" t="s">
        <v>30</v>
      </c>
      <c r="L357" s="4">
        <v>0.03</v>
      </c>
      <c r="M357" t="s">
        <v>18</v>
      </c>
      <c r="N357" t="s">
        <v>22</v>
      </c>
      <c r="O357" t="s">
        <v>28</v>
      </c>
    </row>
    <row r="358" spans="1:15" x14ac:dyDescent="0.25">
      <c r="A358" s="3">
        <v>1097</v>
      </c>
      <c r="B358" s="1">
        <v>45011</v>
      </c>
      <c r="C358" t="s">
        <v>24</v>
      </c>
      <c r="D358" t="s">
        <v>34</v>
      </c>
      <c r="E358" s="2">
        <f>Table1[[#This Row],[Quantity_Sold]] * Table1[[#This Row],[Unit_Price]] * (1 - (Table1[[#This Row],[Discount]] / 100))</f>
        <v>16722.529319999998</v>
      </c>
      <c r="F358" s="2">
        <f>Table1[[#This Row],[Quantity_Sold]] * ((Table1[[#This Row],[Unit_Price]] * (1 - (Table1[[#This Row],[Discount]] / 100))) - Table1[[#This Row],[Unit_Cost]])</f>
        <v>3448.0793199999985</v>
      </c>
      <c r="G358" s="3">
        <v>7</v>
      </c>
      <c r="H358" t="s">
        <v>29</v>
      </c>
      <c r="I358">
        <v>1896.35</v>
      </c>
      <c r="J358" s="2">
        <v>2394.1999999999998</v>
      </c>
      <c r="K358" t="s">
        <v>30</v>
      </c>
      <c r="L358" s="4">
        <v>0.22</v>
      </c>
      <c r="M358" t="s">
        <v>27</v>
      </c>
      <c r="N358" t="s">
        <v>19</v>
      </c>
      <c r="O358" t="s">
        <v>50</v>
      </c>
    </row>
    <row r="359" spans="1:15" x14ac:dyDescent="0.25">
      <c r="A359" s="3">
        <v>1069</v>
      </c>
      <c r="B359" s="1">
        <v>45073</v>
      </c>
      <c r="C359" t="s">
        <v>33</v>
      </c>
      <c r="D359" t="s">
        <v>21</v>
      </c>
      <c r="E359" s="2">
        <f>Table1[[#This Row],[Quantity_Sold]] * Table1[[#This Row],[Unit_Price]] * (1 - (Table1[[#This Row],[Discount]] / 100))</f>
        <v>62488.340200000006</v>
      </c>
      <c r="F359" s="2">
        <f>Table1[[#This Row],[Quantity_Sold]] * ((Table1[[#This Row],[Unit_Price]] * (1 - (Table1[[#This Row],[Discount]] / 100))) - Table1[[#This Row],[Unit_Cost]])</f>
        <v>14760.220200000011</v>
      </c>
      <c r="G359" s="3">
        <v>44</v>
      </c>
      <c r="H359" t="s">
        <v>35</v>
      </c>
      <c r="I359">
        <v>1084.73</v>
      </c>
      <c r="J359" s="2">
        <v>1420.9</v>
      </c>
      <c r="K359" t="s">
        <v>17</v>
      </c>
      <c r="L359" s="4">
        <v>0.05</v>
      </c>
      <c r="M359" t="s">
        <v>31</v>
      </c>
      <c r="N359" t="s">
        <v>19</v>
      </c>
      <c r="O359" t="s">
        <v>37</v>
      </c>
    </row>
    <row r="360" spans="1:15" x14ac:dyDescent="0.25">
      <c r="A360" s="3">
        <v>1061</v>
      </c>
      <c r="B360" s="1">
        <v>45038</v>
      </c>
      <c r="C360" t="s">
        <v>38</v>
      </c>
      <c r="D360" t="s">
        <v>25</v>
      </c>
      <c r="E360" s="2">
        <f>Table1[[#This Row],[Quantity_Sold]] * Table1[[#This Row],[Unit_Price]] * (1 - (Table1[[#This Row],[Discount]] / 100))</f>
        <v>145728.76500000001</v>
      </c>
      <c r="F360" s="2">
        <f>Table1[[#This Row],[Quantity_Sold]] * ((Table1[[#This Row],[Unit_Price]] * (1 - (Table1[[#This Row],[Discount]] / 100))) - Table1[[#This Row],[Unit_Cost]])</f>
        <v>9455.3550000000068</v>
      </c>
      <c r="G360" s="3">
        <v>39</v>
      </c>
      <c r="H360" t="s">
        <v>35</v>
      </c>
      <c r="I360">
        <v>3494.19</v>
      </c>
      <c r="J360" s="2">
        <v>3746</v>
      </c>
      <c r="K360" t="s">
        <v>17</v>
      </c>
      <c r="L360" s="4">
        <v>0.25</v>
      </c>
      <c r="M360" t="s">
        <v>27</v>
      </c>
      <c r="N360" t="s">
        <v>22</v>
      </c>
      <c r="O360" t="s">
        <v>39</v>
      </c>
    </row>
    <row r="361" spans="1:15" x14ac:dyDescent="0.25">
      <c r="A361" s="3">
        <v>1048</v>
      </c>
      <c r="B361" s="1">
        <v>44962</v>
      </c>
      <c r="C361" t="s">
        <v>24</v>
      </c>
      <c r="D361" t="s">
        <v>15</v>
      </c>
      <c r="E361" s="2">
        <f>Table1[[#This Row],[Quantity_Sold]] * Table1[[#This Row],[Unit_Price]] * (1 - (Table1[[#This Row],[Discount]] / 100))</f>
        <v>217340.776044</v>
      </c>
      <c r="F361" s="2">
        <f>Table1[[#This Row],[Quantity_Sold]] * ((Table1[[#This Row],[Unit_Price]] * (1 - (Table1[[#This Row],[Discount]] / 100))) - Table1[[#This Row],[Unit_Cost]])</f>
        <v>18939.916043999998</v>
      </c>
      <c r="G361" s="3">
        <v>42</v>
      </c>
      <c r="H361" t="s">
        <v>35</v>
      </c>
      <c r="I361">
        <v>4723.83</v>
      </c>
      <c r="J361" s="2">
        <v>5186.1899999999996</v>
      </c>
      <c r="K361" t="s">
        <v>17</v>
      </c>
      <c r="L361" s="4">
        <v>0.22</v>
      </c>
      <c r="M361" t="s">
        <v>31</v>
      </c>
      <c r="N361" t="s">
        <v>19</v>
      </c>
      <c r="O361" t="s">
        <v>45</v>
      </c>
    </row>
    <row r="362" spans="1:15" x14ac:dyDescent="0.25">
      <c r="A362" s="3">
        <v>1019</v>
      </c>
      <c r="B362" s="1">
        <v>45211</v>
      </c>
      <c r="C362" t="s">
        <v>33</v>
      </c>
      <c r="D362" t="s">
        <v>21</v>
      </c>
      <c r="E362" s="2">
        <f>Table1[[#This Row],[Quantity_Sold]] * Table1[[#This Row],[Unit_Price]] * (1 - (Table1[[#This Row],[Discount]] / 100))</f>
        <v>79728.978000000003</v>
      </c>
      <c r="F362" s="2">
        <f>Table1[[#This Row],[Quantity_Sold]] * ((Table1[[#This Row],[Unit_Price]] * (1 - (Table1[[#This Row],[Discount]] / 100))) - Table1[[#This Row],[Unit_Cost]])</f>
        <v>84.498000000006869</v>
      </c>
      <c r="G362" s="3">
        <v>16</v>
      </c>
      <c r="H362" t="s">
        <v>29</v>
      </c>
      <c r="I362">
        <v>4977.78</v>
      </c>
      <c r="J362" s="2">
        <v>4995.55</v>
      </c>
      <c r="K362" t="s">
        <v>30</v>
      </c>
      <c r="L362" s="4">
        <v>0.25</v>
      </c>
      <c r="M362" t="s">
        <v>31</v>
      </c>
      <c r="N362" t="s">
        <v>19</v>
      </c>
      <c r="O362" t="s">
        <v>37</v>
      </c>
    </row>
    <row r="363" spans="1:15" x14ac:dyDescent="0.25">
      <c r="A363" s="3">
        <v>1004</v>
      </c>
      <c r="B363" s="1">
        <v>45114</v>
      </c>
      <c r="C363" t="s">
        <v>38</v>
      </c>
      <c r="D363" t="s">
        <v>15</v>
      </c>
      <c r="E363" s="2">
        <f>Table1[[#This Row],[Quantity_Sold]] * Table1[[#This Row],[Unit_Price]] * (1 - (Table1[[#This Row],[Discount]] / 100))</f>
        <v>92545.184304999653</v>
      </c>
      <c r="F363" s="2">
        <f>Table1[[#This Row],[Quantity_Sold]] * ((Table1[[#This Row],[Unit_Price]] * (1 - (Table1[[#This Row],[Discount]] / 100))) - Table1[[#This Row],[Unit_Cost]])</f>
        <v>12784.734304999667</v>
      </c>
      <c r="G363" s="3">
        <v>35</v>
      </c>
      <c r="H363" t="s">
        <v>29</v>
      </c>
      <c r="I363">
        <v>2278.87</v>
      </c>
      <c r="J363" s="2">
        <v>2646.5299999999902</v>
      </c>
      <c r="K363" t="s">
        <v>17</v>
      </c>
      <c r="L363" s="4">
        <v>0.09</v>
      </c>
      <c r="M363" t="s">
        <v>27</v>
      </c>
      <c r="N363" t="s">
        <v>19</v>
      </c>
      <c r="O363" t="s">
        <v>40</v>
      </c>
    </row>
    <row r="364" spans="1:15" x14ac:dyDescent="0.25">
      <c r="A364" s="3">
        <v>1035</v>
      </c>
      <c r="B364" s="1">
        <v>45008</v>
      </c>
      <c r="C364" t="s">
        <v>24</v>
      </c>
      <c r="D364" t="s">
        <v>34</v>
      </c>
      <c r="E364" s="2">
        <f>Table1[[#This Row],[Quantity_Sold]] * Table1[[#This Row],[Unit_Price]] * (1 - (Table1[[#This Row],[Discount]] / 100))</f>
        <v>52318.470959999999</v>
      </c>
      <c r="F364" s="2">
        <f>Table1[[#This Row],[Quantity_Sold]] * ((Table1[[#This Row],[Unit_Price]] * (1 - (Table1[[#This Row],[Discount]] / 100))) - Table1[[#This Row],[Unit_Cost]])</f>
        <v>13317.570960000001</v>
      </c>
      <c r="G364" s="3">
        <v>30</v>
      </c>
      <c r="H364" t="s">
        <v>29</v>
      </c>
      <c r="I364">
        <v>1300.03</v>
      </c>
      <c r="J364" s="2">
        <v>1745.52</v>
      </c>
      <c r="K364" t="s">
        <v>30</v>
      </c>
      <c r="L364" s="4">
        <v>0.09</v>
      </c>
      <c r="M364" t="s">
        <v>18</v>
      </c>
      <c r="N364" t="s">
        <v>22</v>
      </c>
      <c r="O364" t="s">
        <v>50</v>
      </c>
    </row>
    <row r="365" spans="1:15" x14ac:dyDescent="0.25">
      <c r="A365" s="3">
        <v>1064</v>
      </c>
      <c r="B365" s="1">
        <v>44928</v>
      </c>
      <c r="C365" t="s">
        <v>24</v>
      </c>
      <c r="D365" t="s">
        <v>25</v>
      </c>
      <c r="E365" s="2">
        <f>Table1[[#This Row],[Quantity_Sold]] * Table1[[#This Row],[Unit_Price]] * (1 - (Table1[[#This Row],[Discount]] / 100))</f>
        <v>22776.6554</v>
      </c>
      <c r="F365" s="2">
        <f>Table1[[#This Row],[Quantity_Sold]] * ((Table1[[#This Row],[Unit_Price]] * (1 - (Table1[[#This Row],[Discount]] / 100))) - Table1[[#This Row],[Unit_Cost]])</f>
        <v>356.55539999999746</v>
      </c>
      <c r="G365" s="3">
        <v>10</v>
      </c>
      <c r="H365" t="s">
        <v>35</v>
      </c>
      <c r="I365">
        <v>2242.0100000000002</v>
      </c>
      <c r="J365" s="2">
        <v>2282.23</v>
      </c>
      <c r="K365" t="s">
        <v>17</v>
      </c>
      <c r="L365" s="4">
        <v>0.2</v>
      </c>
      <c r="M365" t="s">
        <v>31</v>
      </c>
      <c r="N365" t="s">
        <v>19</v>
      </c>
      <c r="O365" t="s">
        <v>28</v>
      </c>
    </row>
    <row r="366" spans="1:15" x14ac:dyDescent="0.25">
      <c r="A366" s="3">
        <v>1049</v>
      </c>
      <c r="B366" s="1">
        <v>45229</v>
      </c>
      <c r="C366" t="s">
        <v>42</v>
      </c>
      <c r="D366" t="s">
        <v>34</v>
      </c>
      <c r="E366" s="2">
        <f>Table1[[#This Row],[Quantity_Sold]] * Table1[[#This Row],[Unit_Price]] * (1 - (Table1[[#This Row],[Discount]] / 100))</f>
        <v>170014.37686199963</v>
      </c>
      <c r="F366" s="2">
        <f>Table1[[#This Row],[Quantity_Sold]] * ((Table1[[#This Row],[Unit_Price]] * (1 - (Table1[[#This Row],[Discount]] / 100))) - Table1[[#This Row],[Unit_Cost]])</f>
        <v>8743.1368619996447</v>
      </c>
      <c r="G366" s="3">
        <v>38</v>
      </c>
      <c r="H366" t="s">
        <v>26</v>
      </c>
      <c r="I366">
        <v>4243.9799999999996</v>
      </c>
      <c r="J366" s="2">
        <v>4474.5099999999902</v>
      </c>
      <c r="K366" t="s">
        <v>30</v>
      </c>
      <c r="L366" s="4">
        <v>0.01</v>
      </c>
      <c r="M366" t="s">
        <v>31</v>
      </c>
      <c r="N366" t="s">
        <v>19</v>
      </c>
      <c r="O366" t="s">
        <v>52</v>
      </c>
    </row>
    <row r="367" spans="1:15" x14ac:dyDescent="0.25">
      <c r="A367" s="3">
        <v>1017</v>
      </c>
      <c r="B367" s="1">
        <v>45123</v>
      </c>
      <c r="C367" t="s">
        <v>42</v>
      </c>
      <c r="D367" t="s">
        <v>25</v>
      </c>
      <c r="E367" s="2">
        <f>Table1[[#This Row],[Quantity_Sold]] * Table1[[#This Row],[Unit_Price]] * (1 - (Table1[[#This Row],[Discount]] / 100))</f>
        <v>21193.990416000001</v>
      </c>
      <c r="F367" s="2">
        <f>Table1[[#This Row],[Quantity_Sold]] * ((Table1[[#This Row],[Unit_Price]] * (1 - (Table1[[#This Row],[Discount]] / 100))) - Table1[[#This Row],[Unit_Cost]])</f>
        <v>1938.8504159999989</v>
      </c>
      <c r="G367" s="3">
        <v>18</v>
      </c>
      <c r="H367" t="s">
        <v>16</v>
      </c>
      <c r="I367">
        <v>1069.73</v>
      </c>
      <c r="J367" s="2">
        <v>1180.04</v>
      </c>
      <c r="K367" t="s">
        <v>17</v>
      </c>
      <c r="L367" s="4">
        <v>0.22</v>
      </c>
      <c r="M367" t="s">
        <v>27</v>
      </c>
      <c r="N367" t="s">
        <v>19</v>
      </c>
      <c r="O367" t="s">
        <v>43</v>
      </c>
    </row>
    <row r="368" spans="1:15" x14ac:dyDescent="0.25">
      <c r="A368" s="3">
        <v>1044</v>
      </c>
      <c r="B368" s="1">
        <v>44937</v>
      </c>
      <c r="C368" t="s">
        <v>38</v>
      </c>
      <c r="D368" t="s">
        <v>15</v>
      </c>
      <c r="E368" s="2">
        <f>Table1[[#This Row],[Quantity_Sold]] * Table1[[#This Row],[Unit_Price]] * (1 - (Table1[[#This Row],[Discount]] / 100))</f>
        <v>25189.169249999999</v>
      </c>
      <c r="F368" s="2">
        <f>Table1[[#This Row],[Quantity_Sold]] * ((Table1[[#This Row],[Unit_Price]] * (1 - (Table1[[#This Row],[Discount]] / 100))) - Table1[[#This Row],[Unit_Cost]])</f>
        <v>1374.8192500000005</v>
      </c>
      <c r="G368" s="3">
        <v>5</v>
      </c>
      <c r="H368" t="s">
        <v>26</v>
      </c>
      <c r="I368">
        <v>4762.87</v>
      </c>
      <c r="J368" s="2">
        <v>5050.46</v>
      </c>
      <c r="K368" t="s">
        <v>30</v>
      </c>
      <c r="L368" s="4">
        <v>0.25</v>
      </c>
      <c r="M368" t="s">
        <v>18</v>
      </c>
      <c r="N368" t="s">
        <v>22</v>
      </c>
      <c r="O368" t="s">
        <v>40</v>
      </c>
    </row>
    <row r="369" spans="1:15" x14ac:dyDescent="0.25">
      <c r="A369" s="3">
        <v>1092</v>
      </c>
      <c r="B369" s="1">
        <v>45160</v>
      </c>
      <c r="C369" t="s">
        <v>24</v>
      </c>
      <c r="D369" t="s">
        <v>34</v>
      </c>
      <c r="E369" s="2">
        <f>Table1[[#This Row],[Quantity_Sold]] * Table1[[#This Row],[Unit_Price]] * (1 - (Table1[[#This Row],[Discount]] / 100))</f>
        <v>59973.025904000002</v>
      </c>
      <c r="F369" s="2">
        <f>Table1[[#This Row],[Quantity_Sold]] * ((Table1[[#This Row],[Unit_Price]] * (1 - (Table1[[#This Row],[Discount]] / 100))) - Table1[[#This Row],[Unit_Cost]])</f>
        <v>9448.0659039999937</v>
      </c>
      <c r="G369" s="3">
        <v>29</v>
      </c>
      <c r="H369" t="s">
        <v>29</v>
      </c>
      <c r="I369">
        <v>1742.24</v>
      </c>
      <c r="J369" s="2">
        <v>2070.52</v>
      </c>
      <c r="K369" t="s">
        <v>30</v>
      </c>
      <c r="L369" s="4">
        <v>0.12</v>
      </c>
      <c r="M369" t="s">
        <v>18</v>
      </c>
      <c r="N369" t="s">
        <v>19</v>
      </c>
      <c r="O369" t="s">
        <v>50</v>
      </c>
    </row>
    <row r="370" spans="1:15" x14ac:dyDescent="0.25">
      <c r="A370" s="3">
        <v>1030</v>
      </c>
      <c r="B370" s="1">
        <v>45121</v>
      </c>
      <c r="C370" t="s">
        <v>14</v>
      </c>
      <c r="D370" t="s">
        <v>34</v>
      </c>
      <c r="E370" s="2">
        <f>Table1[[#This Row],[Quantity_Sold]] * Table1[[#This Row],[Unit_Price]] * (1 - (Table1[[#This Row],[Discount]] / 100))</f>
        <v>197976.38460599963</v>
      </c>
      <c r="F370" s="2">
        <f>Table1[[#This Row],[Quantity_Sold]] * ((Table1[[#This Row],[Unit_Price]] * (1 - (Table1[[#This Row],[Discount]] / 100))) - Table1[[#This Row],[Unit_Cost]])</f>
        <v>5716.9146059996347</v>
      </c>
      <c r="G370" s="3">
        <v>39</v>
      </c>
      <c r="H370" t="s">
        <v>29</v>
      </c>
      <c r="I370">
        <v>4929.7299999999996</v>
      </c>
      <c r="J370" s="2">
        <v>5088.0199999999904</v>
      </c>
      <c r="K370" t="s">
        <v>30</v>
      </c>
      <c r="L370" s="4">
        <v>0.23</v>
      </c>
      <c r="M370" t="s">
        <v>27</v>
      </c>
      <c r="N370" t="s">
        <v>22</v>
      </c>
      <c r="O370" t="s">
        <v>46</v>
      </c>
    </row>
    <row r="371" spans="1:15" x14ac:dyDescent="0.25">
      <c r="A371" s="3">
        <v>1093</v>
      </c>
      <c r="B371" s="1">
        <v>45045</v>
      </c>
      <c r="C371" t="s">
        <v>42</v>
      </c>
      <c r="D371" t="s">
        <v>15</v>
      </c>
      <c r="E371" s="2">
        <f>Table1[[#This Row],[Quantity_Sold]] * Table1[[#This Row],[Unit_Price]] * (1 - (Table1[[#This Row],[Discount]] / 100))</f>
        <v>150765.57950000002</v>
      </c>
      <c r="F371" s="2">
        <f>Table1[[#This Row],[Quantity_Sold]] * ((Table1[[#This Row],[Unit_Price]] * (1 - (Table1[[#This Row],[Discount]] / 100))) - Table1[[#This Row],[Unit_Cost]])</f>
        <v>7927.8395000000146</v>
      </c>
      <c r="G371" s="3">
        <v>34</v>
      </c>
      <c r="H371" t="s">
        <v>26</v>
      </c>
      <c r="I371">
        <v>4201.1099999999997</v>
      </c>
      <c r="J371" s="2">
        <v>4436.5</v>
      </c>
      <c r="K371" t="s">
        <v>30</v>
      </c>
      <c r="L371" s="4">
        <v>0.05</v>
      </c>
      <c r="M371" t="s">
        <v>18</v>
      </c>
      <c r="N371" t="s">
        <v>19</v>
      </c>
      <c r="O371" t="s">
        <v>49</v>
      </c>
    </row>
    <row r="372" spans="1:15" x14ac:dyDescent="0.25">
      <c r="A372" s="3">
        <v>1046</v>
      </c>
      <c r="B372" s="1">
        <v>44946</v>
      </c>
      <c r="C372" t="s">
        <v>38</v>
      </c>
      <c r="D372" t="s">
        <v>34</v>
      </c>
      <c r="E372" s="2">
        <f>Table1[[#This Row],[Quantity_Sold]] * Table1[[#This Row],[Unit_Price]] * (1 - (Table1[[#This Row],[Discount]] / 100))</f>
        <v>180389.33009999999</v>
      </c>
      <c r="F372" s="2">
        <f>Table1[[#This Row],[Quantity_Sold]] * ((Table1[[#This Row],[Unit_Price]] * (1 - (Table1[[#This Row],[Discount]] / 100))) - Table1[[#This Row],[Unit_Cost]])</f>
        <v>6135.2700999999952</v>
      </c>
      <c r="G372" s="3">
        <v>43</v>
      </c>
      <c r="H372" t="s">
        <v>29</v>
      </c>
      <c r="I372">
        <v>4052.42</v>
      </c>
      <c r="J372" s="2">
        <v>4199.3</v>
      </c>
      <c r="K372" t="s">
        <v>30</v>
      </c>
      <c r="L372" s="4">
        <v>0.1</v>
      </c>
      <c r="M372" t="s">
        <v>27</v>
      </c>
      <c r="N372" t="s">
        <v>22</v>
      </c>
      <c r="O372" t="s">
        <v>48</v>
      </c>
    </row>
    <row r="373" spans="1:15" x14ac:dyDescent="0.25">
      <c r="A373" s="3">
        <v>1006</v>
      </c>
      <c r="B373" s="1">
        <v>45187</v>
      </c>
      <c r="C373" t="s">
        <v>24</v>
      </c>
      <c r="D373" t="s">
        <v>21</v>
      </c>
      <c r="E373" s="2">
        <f>Table1[[#This Row],[Quantity_Sold]] * Table1[[#This Row],[Unit_Price]] * (1 - (Table1[[#This Row],[Discount]] / 100))</f>
        <v>81421.540785000005</v>
      </c>
      <c r="F373" s="2">
        <f>Table1[[#This Row],[Quantity_Sold]] * ((Table1[[#This Row],[Unit_Price]] * (1 - (Table1[[#This Row],[Discount]] / 100))) - Table1[[#This Row],[Unit_Cost]])</f>
        <v>8358.1907849999952</v>
      </c>
      <c r="G373" s="3">
        <v>45</v>
      </c>
      <c r="H373" t="s">
        <v>16</v>
      </c>
      <c r="I373">
        <v>1623.63</v>
      </c>
      <c r="J373" s="2">
        <v>1814.63</v>
      </c>
      <c r="K373" t="s">
        <v>30</v>
      </c>
      <c r="L373" s="4">
        <v>0.28999999999999998</v>
      </c>
      <c r="M373" t="s">
        <v>27</v>
      </c>
      <c r="N373" t="s">
        <v>22</v>
      </c>
      <c r="O373" t="s">
        <v>47</v>
      </c>
    </row>
    <row r="374" spans="1:15" x14ac:dyDescent="0.25">
      <c r="A374" s="3">
        <v>1099</v>
      </c>
      <c r="B374" s="1">
        <v>45219</v>
      </c>
      <c r="C374" t="s">
        <v>24</v>
      </c>
      <c r="D374" t="s">
        <v>25</v>
      </c>
      <c r="E374" s="2">
        <f>Table1[[#This Row],[Quantity_Sold]] * Table1[[#This Row],[Unit_Price]] * (1 - (Table1[[#This Row],[Discount]] / 100))</f>
        <v>4164.72822</v>
      </c>
      <c r="F374" s="2">
        <f>Table1[[#This Row],[Quantity_Sold]] * ((Table1[[#This Row],[Unit_Price]] * (1 - (Table1[[#This Row],[Discount]] / 100))) - Table1[[#This Row],[Unit_Cost]])</f>
        <v>2015.3782200000001</v>
      </c>
      <c r="G374" s="3">
        <v>23</v>
      </c>
      <c r="H374" t="s">
        <v>29</v>
      </c>
      <c r="I374">
        <v>93.45</v>
      </c>
      <c r="J374" s="2">
        <v>181.62</v>
      </c>
      <c r="K374" t="s">
        <v>17</v>
      </c>
      <c r="L374" s="4">
        <v>0.3</v>
      </c>
      <c r="M374" t="s">
        <v>27</v>
      </c>
      <c r="N374" t="s">
        <v>22</v>
      </c>
      <c r="O374" t="s">
        <v>28</v>
      </c>
    </row>
    <row r="375" spans="1:15" x14ac:dyDescent="0.25">
      <c r="A375" s="3">
        <v>1037</v>
      </c>
      <c r="B375" s="1">
        <v>45182</v>
      </c>
      <c r="C375" t="s">
        <v>14</v>
      </c>
      <c r="D375" t="s">
        <v>25</v>
      </c>
      <c r="E375" s="2">
        <f>Table1[[#This Row],[Quantity_Sold]] * Table1[[#This Row],[Unit_Price]] * (1 - (Table1[[#This Row],[Discount]] / 100))</f>
        <v>11909.508900000001</v>
      </c>
      <c r="F375" s="2">
        <f>Table1[[#This Row],[Quantity_Sold]] * ((Table1[[#This Row],[Unit_Price]] * (1 - (Table1[[#This Row],[Discount]] / 100))) - Table1[[#This Row],[Unit_Cost]])</f>
        <v>2201.708900000001</v>
      </c>
      <c r="G375" s="3">
        <v>5</v>
      </c>
      <c r="H375" t="s">
        <v>16</v>
      </c>
      <c r="I375">
        <v>1941.56</v>
      </c>
      <c r="J375" s="2">
        <v>2385.48</v>
      </c>
      <c r="K375" t="s">
        <v>17</v>
      </c>
      <c r="L375" s="4">
        <v>0.15</v>
      </c>
      <c r="M375" t="s">
        <v>31</v>
      </c>
      <c r="N375" t="s">
        <v>19</v>
      </c>
      <c r="O375" t="s">
        <v>32</v>
      </c>
    </row>
    <row r="376" spans="1:15" x14ac:dyDescent="0.25">
      <c r="A376" s="3">
        <v>1024</v>
      </c>
      <c r="B376" s="1">
        <v>45148</v>
      </c>
      <c r="C376" t="s">
        <v>38</v>
      </c>
      <c r="D376" t="s">
        <v>25</v>
      </c>
      <c r="E376" s="2">
        <f>Table1[[#This Row],[Quantity_Sold]] * Table1[[#This Row],[Unit_Price]] * (1 - (Table1[[#This Row],[Discount]] / 100))</f>
        <v>46635.154920000001</v>
      </c>
      <c r="F376" s="2">
        <f>Table1[[#This Row],[Quantity_Sold]] * ((Table1[[#This Row],[Unit_Price]] * (1 - (Table1[[#This Row],[Discount]] / 100))) - Table1[[#This Row],[Unit_Cost]])</f>
        <v>316.35491999999658</v>
      </c>
      <c r="G376" s="3">
        <v>30</v>
      </c>
      <c r="H376" t="s">
        <v>26</v>
      </c>
      <c r="I376">
        <v>1543.96</v>
      </c>
      <c r="J376" s="2">
        <v>1558.87</v>
      </c>
      <c r="K376" t="s">
        <v>17</v>
      </c>
      <c r="L376" s="4">
        <v>0.28000000000000003</v>
      </c>
      <c r="M376" t="s">
        <v>31</v>
      </c>
      <c r="N376" t="s">
        <v>19</v>
      </c>
      <c r="O376" t="s">
        <v>39</v>
      </c>
    </row>
    <row r="377" spans="1:15" x14ac:dyDescent="0.25">
      <c r="A377" s="3">
        <v>1093</v>
      </c>
      <c r="B377" s="1">
        <v>45152</v>
      </c>
      <c r="C377" t="s">
        <v>24</v>
      </c>
      <c r="D377" t="s">
        <v>21</v>
      </c>
      <c r="E377" s="2">
        <f>Table1[[#This Row],[Quantity_Sold]] * Table1[[#This Row],[Unit_Price]] * (1 - (Table1[[#This Row],[Discount]] / 100))</f>
        <v>4058.4959999999996</v>
      </c>
      <c r="F377" s="2">
        <f>Table1[[#This Row],[Quantity_Sold]] * ((Table1[[#This Row],[Unit_Price]] * (1 - (Table1[[#This Row],[Discount]] / 100))) - Table1[[#This Row],[Unit_Cost]])</f>
        <v>2647.7759999999998</v>
      </c>
      <c r="G377" s="3">
        <v>6</v>
      </c>
      <c r="H377" t="s">
        <v>26</v>
      </c>
      <c r="I377">
        <v>235.12</v>
      </c>
      <c r="J377" s="2">
        <v>677.5</v>
      </c>
      <c r="K377" t="s">
        <v>17</v>
      </c>
      <c r="L377" s="4">
        <v>0.16</v>
      </c>
      <c r="M377" t="s">
        <v>31</v>
      </c>
      <c r="N377" t="s">
        <v>19</v>
      </c>
      <c r="O377" t="s">
        <v>47</v>
      </c>
    </row>
    <row r="378" spans="1:15" x14ac:dyDescent="0.25">
      <c r="A378" s="3">
        <v>1046</v>
      </c>
      <c r="B378" s="1">
        <v>44979</v>
      </c>
      <c r="C378" t="s">
        <v>42</v>
      </c>
      <c r="D378" t="s">
        <v>25</v>
      </c>
      <c r="E378" s="2">
        <f>Table1[[#This Row],[Quantity_Sold]] * Table1[[#This Row],[Unit_Price]] * (1 - (Table1[[#This Row],[Discount]] / 100))</f>
        <v>130599.634448</v>
      </c>
      <c r="F378" s="2">
        <f>Table1[[#This Row],[Quantity_Sold]] * ((Table1[[#This Row],[Unit_Price]] * (1 - (Table1[[#This Row],[Discount]] / 100))) - Table1[[#This Row],[Unit_Cost]])</f>
        <v>13227.874448000002</v>
      </c>
      <c r="G378" s="3">
        <v>46</v>
      </c>
      <c r="H378" t="s">
        <v>29</v>
      </c>
      <c r="I378">
        <v>2551.56</v>
      </c>
      <c r="J378" s="2">
        <v>2841.68</v>
      </c>
      <c r="K378" t="s">
        <v>30</v>
      </c>
      <c r="L378" s="4">
        <v>0.09</v>
      </c>
      <c r="M378" t="s">
        <v>27</v>
      </c>
      <c r="N378" t="s">
        <v>22</v>
      </c>
      <c r="O378" t="s">
        <v>43</v>
      </c>
    </row>
    <row r="379" spans="1:15" x14ac:dyDescent="0.25">
      <c r="A379" s="3">
        <v>1053</v>
      </c>
      <c r="B379" s="1">
        <v>45281</v>
      </c>
      <c r="C379" t="s">
        <v>14</v>
      </c>
      <c r="D379" t="s">
        <v>15</v>
      </c>
      <c r="E379" s="2">
        <f>Table1[[#This Row],[Quantity_Sold]] * Table1[[#This Row],[Unit_Price]] * (1 - (Table1[[#This Row],[Discount]] / 100))</f>
        <v>97492.383648000003</v>
      </c>
      <c r="F379" s="2">
        <f>Table1[[#This Row],[Quantity_Sold]] * ((Table1[[#This Row],[Unit_Price]] * (1 - (Table1[[#This Row],[Discount]] / 100))) - Table1[[#This Row],[Unit_Cost]])</f>
        <v>7512.3836480000155</v>
      </c>
      <c r="G379" s="3">
        <v>44</v>
      </c>
      <c r="H379" t="s">
        <v>16</v>
      </c>
      <c r="I379">
        <v>2045</v>
      </c>
      <c r="J379" s="2">
        <v>2217.5100000000002</v>
      </c>
      <c r="K379" t="s">
        <v>17</v>
      </c>
      <c r="L379" s="4">
        <v>0.08</v>
      </c>
      <c r="M379" t="s">
        <v>31</v>
      </c>
      <c r="N379" t="s">
        <v>19</v>
      </c>
      <c r="O379" t="s">
        <v>20</v>
      </c>
    </row>
    <row r="380" spans="1:15" x14ac:dyDescent="0.25">
      <c r="A380" s="3">
        <v>1095</v>
      </c>
      <c r="B380" s="1">
        <v>45268</v>
      </c>
      <c r="C380" t="s">
        <v>38</v>
      </c>
      <c r="D380" t="s">
        <v>34</v>
      </c>
      <c r="E380" s="2">
        <f>Table1[[#This Row],[Quantity_Sold]] * Table1[[#This Row],[Unit_Price]] * (1 - (Table1[[#This Row],[Discount]] / 100))</f>
        <v>14181.58008</v>
      </c>
      <c r="F380" s="2">
        <f>Table1[[#This Row],[Quantity_Sold]] * ((Table1[[#This Row],[Unit_Price]] * (1 - (Table1[[#This Row],[Discount]] / 100))) - Table1[[#This Row],[Unit_Cost]])</f>
        <v>1417.380079999999</v>
      </c>
      <c r="G380" s="3">
        <v>4</v>
      </c>
      <c r="H380" t="s">
        <v>29</v>
      </c>
      <c r="I380">
        <v>3191.05</v>
      </c>
      <c r="J380" s="2">
        <v>3555.35</v>
      </c>
      <c r="K380" t="s">
        <v>30</v>
      </c>
      <c r="L380" s="4">
        <v>0.28000000000000003</v>
      </c>
      <c r="M380" t="s">
        <v>31</v>
      </c>
      <c r="N380" t="s">
        <v>19</v>
      </c>
      <c r="O380" t="s">
        <v>48</v>
      </c>
    </row>
    <row r="381" spans="1:15" x14ac:dyDescent="0.25">
      <c r="A381" s="3">
        <v>1099</v>
      </c>
      <c r="B381" s="1">
        <v>45290</v>
      </c>
      <c r="C381" t="s">
        <v>14</v>
      </c>
      <c r="D381" t="s">
        <v>21</v>
      </c>
      <c r="E381" s="2">
        <f>Table1[[#This Row],[Quantity_Sold]] * Table1[[#This Row],[Unit_Price]] * (1 - (Table1[[#This Row],[Discount]] / 100))</f>
        <v>98077.36678500002</v>
      </c>
      <c r="F381" s="2">
        <f>Table1[[#This Row],[Quantity_Sold]] * ((Table1[[#This Row],[Unit_Price]] * (1 - (Table1[[#This Row],[Discount]] / 100))) - Table1[[#This Row],[Unit_Cost]])</f>
        <v>7456.1367850000161</v>
      </c>
      <c r="G381" s="3">
        <v>29</v>
      </c>
      <c r="H381" t="s">
        <v>35</v>
      </c>
      <c r="I381">
        <v>3124.87</v>
      </c>
      <c r="J381" s="2">
        <v>3383.67</v>
      </c>
      <c r="K381" t="s">
        <v>30</v>
      </c>
      <c r="L381" s="4">
        <v>0.05</v>
      </c>
      <c r="M381" t="s">
        <v>31</v>
      </c>
      <c r="N381" t="s">
        <v>22</v>
      </c>
      <c r="O381" t="s">
        <v>23</v>
      </c>
    </row>
    <row r="382" spans="1:15" x14ac:dyDescent="0.25">
      <c r="A382" s="3">
        <v>1060</v>
      </c>
      <c r="B382" s="1">
        <v>45206</v>
      </c>
      <c r="C382" t="s">
        <v>42</v>
      </c>
      <c r="D382" t="s">
        <v>25</v>
      </c>
      <c r="E382" s="2">
        <f>Table1[[#This Row],[Quantity_Sold]] * Table1[[#This Row],[Unit_Price]] * (1 - (Table1[[#This Row],[Discount]] / 100))</f>
        <v>20716.701633999997</v>
      </c>
      <c r="F382" s="2">
        <f>Table1[[#This Row],[Quantity_Sold]] * ((Table1[[#This Row],[Unit_Price]] * (1 - (Table1[[#This Row],[Discount]] / 100))) - Table1[[#This Row],[Unit_Cost]])</f>
        <v>5819.6016339999978</v>
      </c>
      <c r="G382" s="3">
        <v>23</v>
      </c>
      <c r="H382" t="s">
        <v>35</v>
      </c>
      <c r="I382">
        <v>647.70000000000005</v>
      </c>
      <c r="J382" s="2">
        <v>902.26</v>
      </c>
      <c r="K382" t="s">
        <v>30</v>
      </c>
      <c r="L382" s="4">
        <v>0.17</v>
      </c>
      <c r="M382" t="s">
        <v>27</v>
      </c>
      <c r="N382" t="s">
        <v>19</v>
      </c>
      <c r="O382" t="s">
        <v>43</v>
      </c>
    </row>
    <row r="383" spans="1:15" x14ac:dyDescent="0.25">
      <c r="A383" s="3">
        <v>1097</v>
      </c>
      <c r="B383" s="1">
        <v>45007</v>
      </c>
      <c r="C383" t="s">
        <v>38</v>
      </c>
      <c r="D383" t="s">
        <v>15</v>
      </c>
      <c r="E383" s="2">
        <f>Table1[[#This Row],[Quantity_Sold]] * Table1[[#This Row],[Unit_Price]] * (1 - (Table1[[#This Row],[Discount]] / 100))</f>
        <v>29649.210509999997</v>
      </c>
      <c r="F383" s="2">
        <f>Table1[[#This Row],[Quantity_Sold]] * ((Table1[[#This Row],[Unit_Price]] * (1 - (Table1[[#This Row],[Discount]] / 100))) - Table1[[#This Row],[Unit_Cost]])</f>
        <v>333.33050999999978</v>
      </c>
      <c r="G383" s="3">
        <v>6</v>
      </c>
      <c r="H383" t="s">
        <v>35</v>
      </c>
      <c r="I383">
        <v>4885.9799999999996</v>
      </c>
      <c r="J383" s="2">
        <v>4949.95</v>
      </c>
      <c r="K383" t="s">
        <v>17</v>
      </c>
      <c r="L383" s="4">
        <v>0.17</v>
      </c>
      <c r="M383" t="s">
        <v>27</v>
      </c>
      <c r="N383" t="s">
        <v>19</v>
      </c>
      <c r="O383" t="s">
        <v>40</v>
      </c>
    </row>
    <row r="384" spans="1:15" x14ac:dyDescent="0.25">
      <c r="A384" s="3">
        <v>1063</v>
      </c>
      <c r="B384" s="1">
        <v>45128</v>
      </c>
      <c r="C384" t="s">
        <v>14</v>
      </c>
      <c r="D384" t="s">
        <v>34</v>
      </c>
      <c r="E384" s="2">
        <f>Table1[[#This Row],[Quantity_Sold]] * Table1[[#This Row],[Unit_Price]] * (1 - (Table1[[#This Row],[Discount]] / 100))</f>
        <v>37554.637632000005</v>
      </c>
      <c r="F384" s="2">
        <f>Table1[[#This Row],[Quantity_Sold]] * ((Table1[[#This Row],[Unit_Price]] * (1 - (Table1[[#This Row],[Discount]] / 100))) - Table1[[#This Row],[Unit_Cost]])</f>
        <v>6344.7176320000071</v>
      </c>
      <c r="G384" s="3">
        <v>32</v>
      </c>
      <c r="H384" t="s">
        <v>35</v>
      </c>
      <c r="I384">
        <v>975.31</v>
      </c>
      <c r="J384" s="2">
        <v>1176.17</v>
      </c>
      <c r="K384" t="s">
        <v>30</v>
      </c>
      <c r="L384" s="4">
        <v>0.22</v>
      </c>
      <c r="M384" t="s">
        <v>27</v>
      </c>
      <c r="N384" t="s">
        <v>22</v>
      </c>
      <c r="O384" t="s">
        <v>46</v>
      </c>
    </row>
    <row r="385" spans="1:15" x14ac:dyDescent="0.25">
      <c r="A385" s="3">
        <v>1085</v>
      </c>
      <c r="B385" s="1">
        <v>45084</v>
      </c>
      <c r="C385" t="s">
        <v>33</v>
      </c>
      <c r="D385" t="s">
        <v>34</v>
      </c>
      <c r="E385" s="2">
        <f>Table1[[#This Row],[Quantity_Sold]] * Table1[[#This Row],[Unit_Price]] * (1 - (Table1[[#This Row],[Discount]] / 100))</f>
        <v>99903.57951000001</v>
      </c>
      <c r="F385" s="2">
        <f>Table1[[#This Row],[Quantity_Sold]] * ((Table1[[#This Row],[Unit_Price]] * (1 - (Table1[[#This Row],[Discount]] / 100))) - Table1[[#This Row],[Unit_Cost]])</f>
        <v>5230.9595100000042</v>
      </c>
      <c r="G385" s="3">
        <v>42</v>
      </c>
      <c r="H385" t="s">
        <v>29</v>
      </c>
      <c r="I385">
        <v>2254.11</v>
      </c>
      <c r="J385" s="2">
        <v>2382.23</v>
      </c>
      <c r="K385" t="s">
        <v>17</v>
      </c>
      <c r="L385" s="4">
        <v>0.15</v>
      </c>
      <c r="M385" t="s">
        <v>31</v>
      </c>
      <c r="N385" t="s">
        <v>22</v>
      </c>
      <c r="O385" t="s">
        <v>36</v>
      </c>
    </row>
    <row r="386" spans="1:15" x14ac:dyDescent="0.25">
      <c r="A386" s="3">
        <v>1032</v>
      </c>
      <c r="B386" s="1">
        <v>45046</v>
      </c>
      <c r="C386" t="s">
        <v>42</v>
      </c>
      <c r="D386" t="s">
        <v>21</v>
      </c>
      <c r="E386" s="2">
        <f>Table1[[#This Row],[Quantity_Sold]] * Table1[[#This Row],[Unit_Price]] * (1 - (Table1[[#This Row],[Discount]] / 100))</f>
        <v>44673.892271999997</v>
      </c>
      <c r="F386" s="2">
        <f>Table1[[#This Row],[Quantity_Sold]] * ((Table1[[#This Row],[Unit_Price]] * (1 - (Table1[[#This Row],[Discount]] / 100))) - Table1[[#This Row],[Unit_Cost]])</f>
        <v>282.6522720000039</v>
      </c>
      <c r="G386" s="3">
        <v>18</v>
      </c>
      <c r="H386" t="s">
        <v>35</v>
      </c>
      <c r="I386">
        <v>2466.1799999999998</v>
      </c>
      <c r="J386" s="2">
        <v>2483.87</v>
      </c>
      <c r="K386" t="s">
        <v>17</v>
      </c>
      <c r="L386" s="4">
        <v>0.08</v>
      </c>
      <c r="M386" t="s">
        <v>18</v>
      </c>
      <c r="N386" t="s">
        <v>19</v>
      </c>
      <c r="O386" t="s">
        <v>51</v>
      </c>
    </row>
    <row r="387" spans="1:15" x14ac:dyDescent="0.25">
      <c r="A387" s="3">
        <v>1087</v>
      </c>
      <c r="B387" s="1">
        <v>44985</v>
      </c>
      <c r="C387" t="s">
        <v>42</v>
      </c>
      <c r="D387" t="s">
        <v>21</v>
      </c>
      <c r="E387" s="2">
        <f>Table1[[#This Row],[Quantity_Sold]] * Table1[[#This Row],[Unit_Price]] * (1 - (Table1[[#This Row],[Discount]] / 100))</f>
        <v>63884.691674999995</v>
      </c>
      <c r="F387" s="2">
        <f>Table1[[#This Row],[Quantity_Sold]] * ((Table1[[#This Row],[Unit_Price]] * (1 - (Table1[[#This Row],[Discount]] / 100))) - Table1[[#This Row],[Unit_Cost]])</f>
        <v>2764.7916750000013</v>
      </c>
      <c r="G387" s="3">
        <v>15</v>
      </c>
      <c r="H387" t="s">
        <v>16</v>
      </c>
      <c r="I387">
        <v>4074.66</v>
      </c>
      <c r="J387" s="2">
        <v>4261.1099999999997</v>
      </c>
      <c r="K387" t="s">
        <v>17</v>
      </c>
      <c r="L387" s="4">
        <v>0.05</v>
      </c>
      <c r="M387" t="s">
        <v>31</v>
      </c>
      <c r="N387" t="s">
        <v>22</v>
      </c>
      <c r="O387" t="s">
        <v>51</v>
      </c>
    </row>
    <row r="388" spans="1:15" x14ac:dyDescent="0.25">
      <c r="A388" s="3">
        <v>1033</v>
      </c>
      <c r="B388" s="1">
        <v>45141</v>
      </c>
      <c r="C388" t="s">
        <v>42</v>
      </c>
      <c r="D388" t="s">
        <v>21</v>
      </c>
      <c r="E388" s="2">
        <f>Table1[[#This Row],[Quantity_Sold]] * Table1[[#This Row],[Unit_Price]] * (1 - (Table1[[#This Row],[Discount]] / 100))</f>
        <v>23762.764800000001</v>
      </c>
      <c r="F388" s="2">
        <f>Table1[[#This Row],[Quantity_Sold]] * ((Table1[[#This Row],[Unit_Price]] * (1 - (Table1[[#This Row],[Discount]] / 100))) - Table1[[#This Row],[Unit_Cost]])</f>
        <v>2115.1647999999977</v>
      </c>
      <c r="G388" s="3">
        <v>40</v>
      </c>
      <c r="H388" t="s">
        <v>26</v>
      </c>
      <c r="I388">
        <v>541.19000000000005</v>
      </c>
      <c r="J388" s="2">
        <v>595.20000000000005</v>
      </c>
      <c r="K388" t="s">
        <v>17</v>
      </c>
      <c r="L388" s="4">
        <v>0.19</v>
      </c>
      <c r="M388" t="s">
        <v>31</v>
      </c>
      <c r="N388" t="s">
        <v>19</v>
      </c>
      <c r="O388" t="s">
        <v>51</v>
      </c>
    </row>
    <row r="389" spans="1:15" x14ac:dyDescent="0.25">
      <c r="A389" s="3">
        <v>1067</v>
      </c>
      <c r="B389" s="1">
        <v>45054</v>
      </c>
      <c r="C389" t="s">
        <v>33</v>
      </c>
      <c r="D389" t="s">
        <v>15</v>
      </c>
      <c r="E389" s="2">
        <f>Table1[[#This Row],[Quantity_Sold]] * Table1[[#This Row],[Unit_Price]] * (1 - (Table1[[#This Row],[Discount]] / 100))</f>
        <v>73682.022144000002</v>
      </c>
      <c r="F389" s="2">
        <f>Table1[[#This Row],[Quantity_Sold]] * ((Table1[[#This Row],[Unit_Price]] * (1 - (Table1[[#This Row],[Discount]] / 100))) - Table1[[#This Row],[Unit_Cost]])</f>
        <v>4184.7421440000035</v>
      </c>
      <c r="G389" s="3">
        <v>32</v>
      </c>
      <c r="H389" t="s">
        <v>26</v>
      </c>
      <c r="I389">
        <v>2171.79</v>
      </c>
      <c r="J389" s="2">
        <v>2307.64</v>
      </c>
      <c r="K389" t="s">
        <v>17</v>
      </c>
      <c r="L389" s="4">
        <v>0.22</v>
      </c>
      <c r="M389" t="s">
        <v>27</v>
      </c>
      <c r="N389" t="s">
        <v>19</v>
      </c>
      <c r="O389" t="s">
        <v>53</v>
      </c>
    </row>
    <row r="390" spans="1:15" x14ac:dyDescent="0.25">
      <c r="A390" s="3">
        <v>1018</v>
      </c>
      <c r="B390" s="1">
        <v>45150</v>
      </c>
      <c r="C390" t="s">
        <v>33</v>
      </c>
      <c r="D390" t="s">
        <v>15</v>
      </c>
      <c r="E390" s="2">
        <f>Table1[[#This Row],[Quantity_Sold]] * Table1[[#This Row],[Unit_Price]] * (1 - (Table1[[#This Row],[Discount]] / 100))</f>
        <v>28898.568773999999</v>
      </c>
      <c r="F390" s="2">
        <f>Table1[[#This Row],[Quantity_Sold]] * ((Table1[[#This Row],[Unit_Price]] * (1 - (Table1[[#This Row],[Discount]] / 100))) - Table1[[#This Row],[Unit_Cost]])</f>
        <v>448.75877399999672</v>
      </c>
      <c r="G390" s="3">
        <v>9</v>
      </c>
      <c r="H390" t="s">
        <v>35</v>
      </c>
      <c r="I390">
        <v>3161.09</v>
      </c>
      <c r="J390" s="2">
        <v>3216.42</v>
      </c>
      <c r="K390" t="s">
        <v>30</v>
      </c>
      <c r="L390" s="4">
        <v>0.17</v>
      </c>
      <c r="M390" t="s">
        <v>27</v>
      </c>
      <c r="N390" t="s">
        <v>19</v>
      </c>
      <c r="O390" t="s">
        <v>53</v>
      </c>
    </row>
    <row r="391" spans="1:15" x14ac:dyDescent="0.25">
      <c r="A391" s="3">
        <v>1025</v>
      </c>
      <c r="B391" s="1">
        <v>45135</v>
      </c>
      <c r="C391" t="s">
        <v>24</v>
      </c>
      <c r="D391" t="s">
        <v>21</v>
      </c>
      <c r="E391" s="2">
        <f>Table1[[#This Row],[Quantity_Sold]] * Table1[[#This Row],[Unit_Price]] * (1 - (Table1[[#This Row],[Discount]] / 100))</f>
        <v>43360.157328000001</v>
      </c>
      <c r="F391" s="2">
        <f>Table1[[#This Row],[Quantity_Sold]] * ((Table1[[#This Row],[Unit_Price]] * (1 - (Table1[[#This Row],[Discount]] / 100))) - Table1[[#This Row],[Unit_Cost]])</f>
        <v>2104.4173280000023</v>
      </c>
      <c r="G391" s="3">
        <v>37</v>
      </c>
      <c r="H391" t="s">
        <v>35</v>
      </c>
      <c r="I391">
        <v>1115.02</v>
      </c>
      <c r="J391" s="2">
        <v>1174.48</v>
      </c>
      <c r="K391" t="s">
        <v>30</v>
      </c>
      <c r="L391" s="4">
        <v>0.22</v>
      </c>
      <c r="M391" t="s">
        <v>31</v>
      </c>
      <c r="N391" t="s">
        <v>19</v>
      </c>
      <c r="O391" t="s">
        <v>47</v>
      </c>
    </row>
    <row r="392" spans="1:15" x14ac:dyDescent="0.25">
      <c r="A392" s="3">
        <v>1095</v>
      </c>
      <c r="B392" s="1">
        <v>45041</v>
      </c>
      <c r="C392" t="s">
        <v>14</v>
      </c>
      <c r="D392" t="s">
        <v>25</v>
      </c>
      <c r="E392" s="2">
        <f>Table1[[#This Row],[Quantity_Sold]] * Table1[[#This Row],[Unit_Price]] * (1 - (Table1[[#This Row],[Discount]] / 100))</f>
        <v>32621.84604</v>
      </c>
      <c r="F392" s="2">
        <f>Table1[[#This Row],[Quantity_Sold]] * ((Table1[[#This Row],[Unit_Price]] * (1 - (Table1[[#This Row],[Discount]] / 100))) - Table1[[#This Row],[Unit_Cost]])</f>
        <v>1062.1460400000024</v>
      </c>
      <c r="G392" s="3">
        <v>10</v>
      </c>
      <c r="H392" t="s">
        <v>35</v>
      </c>
      <c r="I392">
        <v>3155.97</v>
      </c>
      <c r="J392" s="2">
        <v>3263.49</v>
      </c>
      <c r="K392" t="s">
        <v>17</v>
      </c>
      <c r="L392" s="4">
        <v>0.04</v>
      </c>
      <c r="M392" t="s">
        <v>31</v>
      </c>
      <c r="N392" t="s">
        <v>19</v>
      </c>
      <c r="O392" t="s">
        <v>32</v>
      </c>
    </row>
    <row r="393" spans="1:15" x14ac:dyDescent="0.25">
      <c r="A393" s="3">
        <v>1054</v>
      </c>
      <c r="B393" s="1">
        <v>45135</v>
      </c>
      <c r="C393" t="s">
        <v>24</v>
      </c>
      <c r="D393" t="s">
        <v>34</v>
      </c>
      <c r="E393" s="2">
        <f>Table1[[#This Row],[Quantity_Sold]] * Table1[[#This Row],[Unit_Price]] * (1 - (Table1[[#This Row],[Discount]] / 100))</f>
        <v>102175.05235999999</v>
      </c>
      <c r="F393" s="2">
        <f>Table1[[#This Row],[Quantity_Sold]] * ((Table1[[#This Row],[Unit_Price]] * (1 - (Table1[[#This Row],[Discount]] / 100))) - Table1[[#This Row],[Unit_Cost]])</f>
        <v>9732.252359999984</v>
      </c>
      <c r="G393" s="3">
        <v>20</v>
      </c>
      <c r="H393" t="s">
        <v>29</v>
      </c>
      <c r="I393">
        <v>4622.1400000000003</v>
      </c>
      <c r="J393" s="2">
        <v>5122.07</v>
      </c>
      <c r="K393" t="s">
        <v>30</v>
      </c>
      <c r="L393" s="4">
        <v>0.26</v>
      </c>
      <c r="M393" t="s">
        <v>18</v>
      </c>
      <c r="N393" t="s">
        <v>22</v>
      </c>
      <c r="O393" t="s">
        <v>50</v>
      </c>
    </row>
    <row r="394" spans="1:15" x14ac:dyDescent="0.25">
      <c r="A394" s="3">
        <v>1058</v>
      </c>
      <c r="B394" s="1">
        <v>44940</v>
      </c>
      <c r="C394" t="s">
        <v>14</v>
      </c>
      <c r="D394" t="s">
        <v>34</v>
      </c>
      <c r="E394" s="2">
        <f>Table1[[#This Row],[Quantity_Sold]] * Table1[[#This Row],[Unit_Price]] * (1 - (Table1[[#This Row],[Discount]] / 100))</f>
        <v>29941.692444</v>
      </c>
      <c r="F394" s="2">
        <f>Table1[[#This Row],[Quantity_Sold]] * ((Table1[[#This Row],[Unit_Price]] * (1 - (Table1[[#This Row],[Discount]] / 100))) - Table1[[#This Row],[Unit_Cost]])</f>
        <v>15.432443999998213</v>
      </c>
      <c r="G394" s="3">
        <v>6</v>
      </c>
      <c r="H394" t="s">
        <v>26</v>
      </c>
      <c r="I394">
        <v>4987.71</v>
      </c>
      <c r="J394" s="2">
        <v>4998.78</v>
      </c>
      <c r="K394" t="s">
        <v>17</v>
      </c>
      <c r="L394" s="4">
        <v>0.17</v>
      </c>
      <c r="M394" t="s">
        <v>18</v>
      </c>
      <c r="N394" t="s">
        <v>22</v>
      </c>
      <c r="O394" t="s">
        <v>46</v>
      </c>
    </row>
    <row r="395" spans="1:15" x14ac:dyDescent="0.25">
      <c r="A395" s="3">
        <v>1067</v>
      </c>
      <c r="B395" s="1">
        <v>44935</v>
      </c>
      <c r="C395" t="s">
        <v>33</v>
      </c>
      <c r="D395" t="s">
        <v>15</v>
      </c>
      <c r="E395" s="2">
        <f>Table1[[#This Row],[Quantity_Sold]] * Table1[[#This Row],[Unit_Price]] * (1 - (Table1[[#This Row],[Discount]] / 100))</f>
        <v>25601.595263999952</v>
      </c>
      <c r="F395" s="2">
        <f>Table1[[#This Row],[Quantity_Sold]] * ((Table1[[#This Row],[Unit_Price]] * (1 - (Table1[[#This Row],[Discount]] / 100))) - Table1[[#This Row],[Unit_Cost]])</f>
        <v>15491.355263999953</v>
      </c>
      <c r="G395" s="3">
        <v>48</v>
      </c>
      <c r="H395" t="s">
        <v>35</v>
      </c>
      <c r="I395">
        <v>210.63</v>
      </c>
      <c r="J395" s="2">
        <v>533.57999999999902</v>
      </c>
      <c r="K395" t="s">
        <v>30</v>
      </c>
      <c r="L395" s="4">
        <v>0.04</v>
      </c>
      <c r="M395" t="s">
        <v>27</v>
      </c>
      <c r="N395" t="s">
        <v>19</v>
      </c>
      <c r="O395" t="s">
        <v>53</v>
      </c>
    </row>
    <row r="396" spans="1:15" x14ac:dyDescent="0.25">
      <c r="A396" s="3">
        <v>1046</v>
      </c>
      <c r="B396" s="1">
        <v>44966</v>
      </c>
      <c r="C396" t="s">
        <v>33</v>
      </c>
      <c r="D396" t="s">
        <v>34</v>
      </c>
      <c r="E396" s="2">
        <f>Table1[[#This Row],[Quantity_Sold]] * Table1[[#This Row],[Unit_Price]] * (1 - (Table1[[#This Row],[Discount]] / 100))</f>
        <v>3880.6694459999999</v>
      </c>
      <c r="F396" s="2">
        <f>Table1[[#This Row],[Quantity_Sold]] * ((Table1[[#This Row],[Unit_Price]] * (1 - (Table1[[#This Row],[Discount]] / 100))) - Table1[[#This Row],[Unit_Cost]])</f>
        <v>232.18944599999963</v>
      </c>
      <c r="G396" s="3">
        <v>3</v>
      </c>
      <c r="H396" t="s">
        <v>16</v>
      </c>
      <c r="I396">
        <v>1216.1600000000001</v>
      </c>
      <c r="J396" s="2">
        <v>1295.3699999999999</v>
      </c>
      <c r="K396" t="s">
        <v>30</v>
      </c>
      <c r="L396" s="4">
        <v>0.14000000000000001</v>
      </c>
      <c r="M396" t="s">
        <v>18</v>
      </c>
      <c r="N396" t="s">
        <v>22</v>
      </c>
      <c r="O396" t="s">
        <v>36</v>
      </c>
    </row>
    <row r="397" spans="1:15" x14ac:dyDescent="0.25">
      <c r="A397" s="3">
        <v>1024</v>
      </c>
      <c r="B397" s="1">
        <v>45163</v>
      </c>
      <c r="C397" t="s">
        <v>24</v>
      </c>
      <c r="D397" t="s">
        <v>25</v>
      </c>
      <c r="E397" s="2">
        <f>Table1[[#This Row],[Quantity_Sold]] * Table1[[#This Row],[Unit_Price]] * (1 - (Table1[[#This Row],[Discount]] / 100))</f>
        <v>85764.511350000015</v>
      </c>
      <c r="F397" s="2">
        <f>Table1[[#This Row],[Quantity_Sold]] * ((Table1[[#This Row],[Unit_Price]] * (1 - (Table1[[#This Row],[Discount]] / 100))) - Table1[[#This Row],[Unit_Cost]])</f>
        <v>19151.671350000011</v>
      </c>
      <c r="G397" s="3">
        <v>42</v>
      </c>
      <c r="H397" t="s">
        <v>35</v>
      </c>
      <c r="I397">
        <v>1586.02</v>
      </c>
      <c r="J397" s="2">
        <v>2047.13</v>
      </c>
      <c r="K397" t="s">
        <v>30</v>
      </c>
      <c r="L397" s="4">
        <v>0.25</v>
      </c>
      <c r="M397" t="s">
        <v>18</v>
      </c>
      <c r="N397" t="s">
        <v>22</v>
      </c>
      <c r="O397" t="s">
        <v>28</v>
      </c>
    </row>
    <row r="398" spans="1:15" x14ac:dyDescent="0.25">
      <c r="A398" s="3">
        <v>1032</v>
      </c>
      <c r="B398" s="1">
        <v>45207</v>
      </c>
      <c r="C398" t="s">
        <v>38</v>
      </c>
      <c r="D398" t="s">
        <v>34</v>
      </c>
      <c r="E398" s="2">
        <f>Table1[[#This Row],[Quantity_Sold]] * Table1[[#This Row],[Unit_Price]] * (1 - (Table1[[#This Row],[Discount]] / 100))</f>
        <v>22835.227965000002</v>
      </c>
      <c r="F398" s="2">
        <f>Table1[[#This Row],[Quantity_Sold]] * ((Table1[[#This Row],[Unit_Price]] * (1 - (Table1[[#This Row],[Discount]] / 100))) - Table1[[#This Row],[Unit_Cost]])</f>
        <v>552.85796499999879</v>
      </c>
      <c r="G398" s="3">
        <v>11</v>
      </c>
      <c r="H398" t="s">
        <v>26</v>
      </c>
      <c r="I398">
        <v>2025.67</v>
      </c>
      <c r="J398" s="2">
        <v>2081.5500000000002</v>
      </c>
      <c r="K398" t="s">
        <v>30</v>
      </c>
      <c r="L398" s="4">
        <v>0.27</v>
      </c>
      <c r="M398" t="s">
        <v>27</v>
      </c>
      <c r="N398" t="s">
        <v>19</v>
      </c>
      <c r="O398" t="s">
        <v>48</v>
      </c>
    </row>
    <row r="399" spans="1:15" x14ac:dyDescent="0.25">
      <c r="A399" s="3">
        <v>1047</v>
      </c>
      <c r="B399" s="1">
        <v>45285</v>
      </c>
      <c r="C399" t="s">
        <v>24</v>
      </c>
      <c r="D399" t="s">
        <v>15</v>
      </c>
      <c r="E399" s="2">
        <f>Table1[[#This Row],[Quantity_Sold]] * Table1[[#This Row],[Unit_Price]] * (1 - (Table1[[#This Row],[Discount]] / 100))</f>
        <v>74208.036039999992</v>
      </c>
      <c r="F399" s="2">
        <f>Table1[[#This Row],[Quantity_Sold]] * ((Table1[[#This Row],[Unit_Price]] * (1 - (Table1[[#This Row],[Discount]] / 100))) - Table1[[#This Row],[Unit_Cost]])</f>
        <v>20493.726039999998</v>
      </c>
      <c r="G399" s="3">
        <v>43</v>
      </c>
      <c r="H399" t="s">
        <v>35</v>
      </c>
      <c r="I399">
        <v>1249.17</v>
      </c>
      <c r="J399" s="2">
        <v>1727.15</v>
      </c>
      <c r="K399" t="s">
        <v>30</v>
      </c>
      <c r="L399" s="4">
        <v>0.08</v>
      </c>
      <c r="M399" t="s">
        <v>18</v>
      </c>
      <c r="N399" t="s">
        <v>22</v>
      </c>
      <c r="O399" t="s">
        <v>45</v>
      </c>
    </row>
    <row r="400" spans="1:15" x14ac:dyDescent="0.25">
      <c r="A400" s="3">
        <v>1086</v>
      </c>
      <c r="B400" s="1">
        <v>45127</v>
      </c>
      <c r="C400" t="s">
        <v>14</v>
      </c>
      <c r="D400" t="s">
        <v>15</v>
      </c>
      <c r="E400" s="2">
        <f>Table1[[#This Row],[Quantity_Sold]] * Table1[[#This Row],[Unit_Price]] * (1 - (Table1[[#This Row],[Discount]] / 100))</f>
        <v>23183.751665999996</v>
      </c>
      <c r="F400" s="2">
        <f>Table1[[#This Row],[Quantity_Sold]] * ((Table1[[#This Row],[Unit_Price]] * (1 - (Table1[[#This Row],[Discount]] / 100))) - Table1[[#This Row],[Unit_Cost]])</f>
        <v>5210.161666</v>
      </c>
      <c r="G400" s="3">
        <v>17</v>
      </c>
      <c r="H400" t="s">
        <v>26</v>
      </c>
      <c r="I400">
        <v>1057.27</v>
      </c>
      <c r="J400" s="2">
        <v>1366.62</v>
      </c>
      <c r="K400" t="s">
        <v>30</v>
      </c>
      <c r="L400" s="4">
        <v>0.21</v>
      </c>
      <c r="M400" t="s">
        <v>31</v>
      </c>
      <c r="N400" t="s">
        <v>22</v>
      </c>
      <c r="O400" t="s">
        <v>20</v>
      </c>
    </row>
    <row r="401" spans="1:15" x14ac:dyDescent="0.25">
      <c r="A401" s="3">
        <v>1023</v>
      </c>
      <c r="B401" s="1">
        <v>45172</v>
      </c>
      <c r="C401" t="s">
        <v>24</v>
      </c>
      <c r="D401" t="s">
        <v>25</v>
      </c>
      <c r="E401" s="2">
        <f>Table1[[#This Row],[Quantity_Sold]] * Table1[[#This Row],[Unit_Price]] * (1 - (Table1[[#This Row],[Discount]] / 100))</f>
        <v>153095.17766399999</v>
      </c>
      <c r="F401" s="2">
        <f>Table1[[#This Row],[Quantity_Sold]] * ((Table1[[#This Row],[Unit_Price]] * (1 - (Table1[[#This Row],[Discount]] / 100))) - Table1[[#This Row],[Unit_Cost]])</f>
        <v>293.89766399998916</v>
      </c>
      <c r="G401" s="3">
        <v>32</v>
      </c>
      <c r="H401" t="s">
        <v>35</v>
      </c>
      <c r="I401">
        <v>4775.04</v>
      </c>
      <c r="J401" s="2">
        <v>4785.66</v>
      </c>
      <c r="K401" t="s">
        <v>30</v>
      </c>
      <c r="L401" s="4">
        <v>0.03</v>
      </c>
      <c r="M401" t="s">
        <v>18</v>
      </c>
      <c r="N401" t="s">
        <v>19</v>
      </c>
      <c r="O401" t="s">
        <v>28</v>
      </c>
    </row>
    <row r="402" spans="1:15" x14ac:dyDescent="0.25">
      <c r="A402" s="3">
        <v>1066</v>
      </c>
      <c r="B402" s="1">
        <v>45204</v>
      </c>
      <c r="C402" t="s">
        <v>42</v>
      </c>
      <c r="D402" t="s">
        <v>25</v>
      </c>
      <c r="E402" s="2">
        <f>Table1[[#This Row],[Quantity_Sold]] * Table1[[#This Row],[Unit_Price]] * (1 - (Table1[[#This Row],[Discount]] / 100))</f>
        <v>20176.942103999998</v>
      </c>
      <c r="F402" s="2">
        <f>Table1[[#This Row],[Quantity_Sold]] * ((Table1[[#This Row],[Unit_Price]] * (1 - (Table1[[#This Row],[Discount]] / 100))) - Table1[[#This Row],[Unit_Cost]])</f>
        <v>1790.2221039999968</v>
      </c>
      <c r="G402" s="3">
        <v>4</v>
      </c>
      <c r="H402" t="s">
        <v>16</v>
      </c>
      <c r="I402">
        <v>4596.68</v>
      </c>
      <c r="J402" s="2">
        <v>5044.74</v>
      </c>
      <c r="K402" t="s">
        <v>30</v>
      </c>
      <c r="L402" s="4">
        <v>0.01</v>
      </c>
      <c r="M402" t="s">
        <v>27</v>
      </c>
      <c r="N402" t="s">
        <v>19</v>
      </c>
      <c r="O402" t="s">
        <v>43</v>
      </c>
    </row>
    <row r="403" spans="1:15" x14ac:dyDescent="0.25">
      <c r="A403" s="3">
        <v>1027</v>
      </c>
      <c r="B403" s="1">
        <v>45161</v>
      </c>
      <c r="C403" t="s">
        <v>14</v>
      </c>
      <c r="D403" t="s">
        <v>34</v>
      </c>
      <c r="E403" s="2">
        <f>Table1[[#This Row],[Quantity_Sold]] * Table1[[#This Row],[Unit_Price]] * (1 - (Table1[[#This Row],[Discount]] / 100))</f>
        <v>2189.2718999999997</v>
      </c>
      <c r="F403" s="2">
        <f>Table1[[#This Row],[Quantity_Sold]] * ((Table1[[#This Row],[Unit_Price]] * (1 - (Table1[[#This Row],[Discount]] / 100))) - Table1[[#This Row],[Unit_Cost]])</f>
        <v>1058.8318999999997</v>
      </c>
      <c r="G403" s="3">
        <v>4</v>
      </c>
      <c r="H403" t="s">
        <v>35</v>
      </c>
      <c r="I403">
        <v>282.61</v>
      </c>
      <c r="J403" s="2">
        <v>548.25</v>
      </c>
      <c r="K403" t="s">
        <v>30</v>
      </c>
      <c r="L403" s="4">
        <v>0.17</v>
      </c>
      <c r="M403" t="s">
        <v>31</v>
      </c>
      <c r="N403" t="s">
        <v>19</v>
      </c>
      <c r="O403" t="s">
        <v>46</v>
      </c>
    </row>
    <row r="404" spans="1:15" x14ac:dyDescent="0.25">
      <c r="A404" s="3">
        <v>1002</v>
      </c>
      <c r="B404" s="1">
        <v>44930</v>
      </c>
      <c r="C404" t="s">
        <v>14</v>
      </c>
      <c r="D404" t="s">
        <v>34</v>
      </c>
      <c r="E404" s="2">
        <f>Table1[[#This Row],[Quantity_Sold]] * Table1[[#This Row],[Unit_Price]] * (1 - (Table1[[#This Row],[Discount]] / 100))</f>
        <v>31652.499868999999</v>
      </c>
      <c r="F404" s="2">
        <f>Table1[[#This Row],[Quantity_Sold]] * ((Table1[[#This Row],[Unit_Price]] * (1 - (Table1[[#This Row],[Discount]] / 100))) - Table1[[#This Row],[Unit_Cost]])</f>
        <v>2291.4598689999993</v>
      </c>
      <c r="G404" s="3">
        <v>17</v>
      </c>
      <c r="H404" t="s">
        <v>16</v>
      </c>
      <c r="I404">
        <v>1727.12</v>
      </c>
      <c r="J404" s="2">
        <v>1865.83</v>
      </c>
      <c r="K404" t="s">
        <v>30</v>
      </c>
      <c r="L404" s="4">
        <v>0.21</v>
      </c>
      <c r="M404" t="s">
        <v>18</v>
      </c>
      <c r="N404" t="s">
        <v>19</v>
      </c>
      <c r="O404" t="s">
        <v>46</v>
      </c>
    </row>
    <row r="405" spans="1:15" x14ac:dyDescent="0.25">
      <c r="A405" s="3">
        <v>1090</v>
      </c>
      <c r="B405" s="1">
        <v>45080</v>
      </c>
      <c r="C405" t="s">
        <v>38</v>
      </c>
      <c r="D405" t="s">
        <v>15</v>
      </c>
      <c r="E405" s="2">
        <f>Table1[[#This Row],[Quantity_Sold]] * Table1[[#This Row],[Unit_Price]] * (1 - (Table1[[#This Row],[Discount]] / 100))</f>
        <v>99859.620336000007</v>
      </c>
      <c r="F405" s="2">
        <f>Table1[[#This Row],[Quantity_Sold]] * ((Table1[[#This Row],[Unit_Price]] * (1 - (Table1[[#This Row],[Discount]] / 100))) - Table1[[#This Row],[Unit_Cost]])</f>
        <v>15584.530336000011</v>
      </c>
      <c r="G405" s="3">
        <v>41</v>
      </c>
      <c r="H405" t="s">
        <v>16</v>
      </c>
      <c r="I405">
        <v>2055.4899999999998</v>
      </c>
      <c r="J405" s="2">
        <v>2441.46</v>
      </c>
      <c r="K405" t="s">
        <v>30</v>
      </c>
      <c r="L405" s="4">
        <v>0.24</v>
      </c>
      <c r="M405" t="s">
        <v>31</v>
      </c>
      <c r="N405" t="s">
        <v>19</v>
      </c>
      <c r="O405" t="s">
        <v>40</v>
      </c>
    </row>
    <row r="406" spans="1:15" x14ac:dyDescent="0.25">
      <c r="A406" s="3">
        <v>1017</v>
      </c>
      <c r="B406" s="1">
        <v>44955</v>
      </c>
      <c r="C406" t="s">
        <v>33</v>
      </c>
      <c r="D406" t="s">
        <v>25</v>
      </c>
      <c r="E406" s="2">
        <f>Table1[[#This Row],[Quantity_Sold]] * Table1[[#This Row],[Unit_Price]] * (1 - (Table1[[#This Row],[Discount]] / 100))</f>
        <v>32214.363389999813</v>
      </c>
      <c r="F406" s="2">
        <f>Table1[[#This Row],[Quantity_Sold]] * ((Table1[[#This Row],[Unit_Price]] * (1 - (Table1[[#This Row],[Discount]] / 100))) - Table1[[#This Row],[Unit_Cost]])</f>
        <v>8785.0833899998106</v>
      </c>
      <c r="G406" s="3">
        <v>19</v>
      </c>
      <c r="H406" t="s">
        <v>35</v>
      </c>
      <c r="I406">
        <v>1233.1199999999999</v>
      </c>
      <c r="J406" s="2">
        <v>1697.1899999999901</v>
      </c>
      <c r="K406" t="s">
        <v>30</v>
      </c>
      <c r="L406" s="4">
        <v>0.1</v>
      </c>
      <c r="M406" t="s">
        <v>31</v>
      </c>
      <c r="N406" t="s">
        <v>19</v>
      </c>
      <c r="O406" t="s">
        <v>44</v>
      </c>
    </row>
    <row r="407" spans="1:15" x14ac:dyDescent="0.25">
      <c r="A407" s="3">
        <v>1033</v>
      </c>
      <c r="B407" s="1">
        <v>45035</v>
      </c>
      <c r="C407" t="s">
        <v>14</v>
      </c>
      <c r="D407" t="s">
        <v>25</v>
      </c>
      <c r="E407" s="2">
        <f>Table1[[#This Row],[Quantity_Sold]] * Table1[[#This Row],[Unit_Price]] * (1 - (Table1[[#This Row],[Discount]] / 100))</f>
        <v>17049.649999999998</v>
      </c>
      <c r="F407" s="2">
        <f>Table1[[#This Row],[Quantity_Sold]] * ((Table1[[#This Row],[Unit_Price]] * (1 - (Table1[[#This Row],[Discount]] / 100))) - Table1[[#This Row],[Unit_Cost]])</f>
        <v>1235.0499999999988</v>
      </c>
      <c r="G407" s="3">
        <v>5</v>
      </c>
      <c r="H407" t="s">
        <v>16</v>
      </c>
      <c r="I407">
        <v>3162.92</v>
      </c>
      <c r="J407" s="2">
        <v>3409.93</v>
      </c>
      <c r="K407" t="s">
        <v>30</v>
      </c>
      <c r="L407" s="4">
        <v>0</v>
      </c>
      <c r="M407" t="s">
        <v>18</v>
      </c>
      <c r="N407" t="s">
        <v>19</v>
      </c>
      <c r="O407" t="s">
        <v>32</v>
      </c>
    </row>
    <row r="408" spans="1:15" x14ac:dyDescent="0.25">
      <c r="A408" s="3">
        <v>1009</v>
      </c>
      <c r="B408" s="1">
        <v>45024</v>
      </c>
      <c r="C408" t="s">
        <v>33</v>
      </c>
      <c r="D408" t="s">
        <v>25</v>
      </c>
      <c r="E408" s="2">
        <f>Table1[[#This Row],[Quantity_Sold]] * Table1[[#This Row],[Unit_Price]] * (1 - (Table1[[#This Row],[Discount]] / 100))</f>
        <v>108152.3744</v>
      </c>
      <c r="F408" s="2">
        <f>Table1[[#This Row],[Quantity_Sold]] * ((Table1[[#This Row],[Unit_Price]] * (1 - (Table1[[#This Row],[Discount]] / 100))) - Table1[[#This Row],[Unit_Cost]])</f>
        <v>5116.2143999999971</v>
      </c>
      <c r="G408" s="3">
        <v>32</v>
      </c>
      <c r="H408" t="s">
        <v>29</v>
      </c>
      <c r="I408">
        <v>3219.88</v>
      </c>
      <c r="J408" s="2">
        <v>3384.5</v>
      </c>
      <c r="K408" t="s">
        <v>17</v>
      </c>
      <c r="L408" s="4">
        <v>0.14000000000000001</v>
      </c>
      <c r="M408" t="s">
        <v>18</v>
      </c>
      <c r="N408" t="s">
        <v>22</v>
      </c>
      <c r="O408" t="s">
        <v>44</v>
      </c>
    </row>
    <row r="409" spans="1:15" x14ac:dyDescent="0.25">
      <c r="A409" s="3">
        <v>1043</v>
      </c>
      <c r="B409" s="1">
        <v>45141</v>
      </c>
      <c r="C409" t="s">
        <v>24</v>
      </c>
      <c r="D409" t="s">
        <v>34</v>
      </c>
      <c r="E409" s="2">
        <f>Table1[[#This Row],[Quantity_Sold]] * Table1[[#This Row],[Unit_Price]] * (1 - (Table1[[#This Row],[Discount]] / 100))</f>
        <v>102444.76</v>
      </c>
      <c r="F409" s="2">
        <f>Table1[[#This Row],[Quantity_Sold]] * ((Table1[[#This Row],[Unit_Price]] * (1 - (Table1[[#This Row],[Discount]] / 100))) - Table1[[#This Row],[Unit_Cost]])</f>
        <v>8724.7599999999984</v>
      </c>
      <c r="G409" s="3">
        <v>22</v>
      </c>
      <c r="H409" t="s">
        <v>35</v>
      </c>
      <c r="I409">
        <v>4260</v>
      </c>
      <c r="J409" s="2">
        <v>4656.58</v>
      </c>
      <c r="K409" t="s">
        <v>30</v>
      </c>
      <c r="L409" s="4">
        <v>0</v>
      </c>
      <c r="M409" t="s">
        <v>27</v>
      </c>
      <c r="N409" t="s">
        <v>19</v>
      </c>
      <c r="O409" t="s">
        <v>50</v>
      </c>
    </row>
    <row r="410" spans="1:15" x14ac:dyDescent="0.25">
      <c r="A410" s="3">
        <v>1048</v>
      </c>
      <c r="B410" s="1">
        <v>45219</v>
      </c>
      <c r="C410" t="s">
        <v>42</v>
      </c>
      <c r="D410" t="s">
        <v>25</v>
      </c>
      <c r="E410" s="2">
        <f>Table1[[#This Row],[Quantity_Sold]] * Table1[[#This Row],[Unit_Price]] * (1 - (Table1[[#This Row],[Discount]] / 100))</f>
        <v>24360.909534000002</v>
      </c>
      <c r="F410" s="2">
        <f>Table1[[#This Row],[Quantity_Sold]] * ((Table1[[#This Row],[Unit_Price]] * (1 - (Table1[[#This Row],[Discount]] / 100))) - Table1[[#This Row],[Unit_Cost]])</f>
        <v>2057.1095339999993</v>
      </c>
      <c r="G410" s="3">
        <v>6</v>
      </c>
      <c r="H410" t="s">
        <v>35</v>
      </c>
      <c r="I410">
        <v>3717.3</v>
      </c>
      <c r="J410" s="2">
        <v>4061.37</v>
      </c>
      <c r="K410" t="s">
        <v>30</v>
      </c>
      <c r="L410" s="4">
        <v>0.03</v>
      </c>
      <c r="M410" t="s">
        <v>27</v>
      </c>
      <c r="N410" t="s">
        <v>22</v>
      </c>
      <c r="O410" t="s">
        <v>43</v>
      </c>
    </row>
    <row r="411" spans="1:15" x14ac:dyDescent="0.25">
      <c r="A411" s="3">
        <v>1039</v>
      </c>
      <c r="B411" s="1">
        <v>45001</v>
      </c>
      <c r="C411" t="s">
        <v>38</v>
      </c>
      <c r="D411" t="s">
        <v>15</v>
      </c>
      <c r="E411" s="2">
        <f>Table1[[#This Row],[Quantity_Sold]] * Table1[[#This Row],[Unit_Price]] * (1 - (Table1[[#This Row],[Discount]] / 100))</f>
        <v>111231.70694999966</v>
      </c>
      <c r="F411" s="2">
        <f>Table1[[#This Row],[Quantity_Sold]] * ((Table1[[#This Row],[Unit_Price]] * (1 - (Table1[[#This Row],[Discount]] / 100))) - Table1[[#This Row],[Unit_Cost]])</f>
        <v>15480.806949999653</v>
      </c>
      <c r="G411" s="3">
        <v>35</v>
      </c>
      <c r="H411" t="s">
        <v>16</v>
      </c>
      <c r="I411">
        <v>2735.74</v>
      </c>
      <c r="J411" s="2">
        <v>3181.22999999999</v>
      </c>
      <c r="K411" t="s">
        <v>30</v>
      </c>
      <c r="L411" s="4">
        <v>0.1</v>
      </c>
      <c r="M411" t="s">
        <v>31</v>
      </c>
      <c r="N411" t="s">
        <v>22</v>
      </c>
      <c r="O411" t="s">
        <v>40</v>
      </c>
    </row>
    <row r="412" spans="1:15" x14ac:dyDescent="0.25">
      <c r="A412" s="3">
        <v>1093</v>
      </c>
      <c r="B412" s="1">
        <v>45252</v>
      </c>
      <c r="C412" t="s">
        <v>33</v>
      </c>
      <c r="D412" t="s">
        <v>15</v>
      </c>
      <c r="E412" s="2">
        <f>Table1[[#This Row],[Quantity_Sold]] * Table1[[#This Row],[Unit_Price]] * (1 - (Table1[[#This Row],[Discount]] / 100))</f>
        <v>79856.811011999991</v>
      </c>
      <c r="F412" s="2">
        <f>Table1[[#This Row],[Quantity_Sold]] * ((Table1[[#This Row],[Unit_Price]] * (1 - (Table1[[#This Row],[Discount]] / 100))) - Table1[[#This Row],[Unit_Cost]])</f>
        <v>7581.3110120000028</v>
      </c>
      <c r="G412" s="3">
        <v>22</v>
      </c>
      <c r="H412" t="s">
        <v>16</v>
      </c>
      <c r="I412">
        <v>3285.25</v>
      </c>
      <c r="J412" s="2">
        <v>3634.58</v>
      </c>
      <c r="K412" t="s">
        <v>30</v>
      </c>
      <c r="L412" s="4">
        <v>0.13</v>
      </c>
      <c r="M412" t="s">
        <v>27</v>
      </c>
      <c r="N412" t="s">
        <v>19</v>
      </c>
      <c r="O412" t="s">
        <v>53</v>
      </c>
    </row>
    <row r="413" spans="1:15" x14ac:dyDescent="0.25">
      <c r="A413" s="3">
        <v>1042</v>
      </c>
      <c r="B413" s="1">
        <v>45072</v>
      </c>
      <c r="C413" t="s">
        <v>14</v>
      </c>
      <c r="D413" t="s">
        <v>34</v>
      </c>
      <c r="E413" s="2">
        <f>Table1[[#This Row],[Quantity_Sold]] * Table1[[#This Row],[Unit_Price]] * (1 - (Table1[[#This Row],[Discount]] / 100))</f>
        <v>1534.3415439999999</v>
      </c>
      <c r="F413" s="2">
        <f>Table1[[#This Row],[Quantity_Sold]] * ((Table1[[#This Row],[Unit_Price]] * (1 - (Table1[[#This Row],[Discount]] / 100))) - Table1[[#This Row],[Unit_Cost]])</f>
        <v>128.10154399999988</v>
      </c>
      <c r="G413" s="3">
        <v>1</v>
      </c>
      <c r="H413" t="s">
        <v>35</v>
      </c>
      <c r="I413">
        <v>1406.24</v>
      </c>
      <c r="J413" s="2">
        <v>1535.57</v>
      </c>
      <c r="K413" t="s">
        <v>30</v>
      </c>
      <c r="L413" s="4">
        <v>0.08</v>
      </c>
      <c r="M413" t="s">
        <v>31</v>
      </c>
      <c r="N413" t="s">
        <v>22</v>
      </c>
      <c r="O413" t="s">
        <v>46</v>
      </c>
    </row>
    <row r="414" spans="1:15" x14ac:dyDescent="0.25">
      <c r="A414" s="3">
        <v>1026</v>
      </c>
      <c r="B414" s="1">
        <v>45054</v>
      </c>
      <c r="C414" t="s">
        <v>33</v>
      </c>
      <c r="D414" t="s">
        <v>21</v>
      </c>
      <c r="E414" s="2">
        <f>Table1[[#This Row],[Quantity_Sold]] * Table1[[#This Row],[Unit_Price]] * (1 - (Table1[[#This Row],[Discount]] / 100))</f>
        <v>68925.427240000005</v>
      </c>
      <c r="F414" s="2">
        <f>Table1[[#This Row],[Quantity_Sold]] * ((Table1[[#This Row],[Unit_Price]] * (1 - (Table1[[#This Row],[Discount]] / 100))) - Table1[[#This Row],[Unit_Cost]])</f>
        <v>9212.8272399999969</v>
      </c>
      <c r="G414" s="3">
        <v>20</v>
      </c>
      <c r="H414" t="s">
        <v>29</v>
      </c>
      <c r="I414">
        <v>2985.63</v>
      </c>
      <c r="J414" s="2">
        <v>3452.14</v>
      </c>
      <c r="K414" t="s">
        <v>30</v>
      </c>
      <c r="L414" s="4">
        <v>0.17</v>
      </c>
      <c r="M414" t="s">
        <v>31</v>
      </c>
      <c r="N414" t="s">
        <v>22</v>
      </c>
      <c r="O414" t="s">
        <v>37</v>
      </c>
    </row>
    <row r="415" spans="1:15" x14ac:dyDescent="0.25">
      <c r="A415" s="3">
        <v>1099</v>
      </c>
      <c r="B415" s="1">
        <v>45267</v>
      </c>
      <c r="C415" t="s">
        <v>14</v>
      </c>
      <c r="D415" t="s">
        <v>34</v>
      </c>
      <c r="E415" s="2">
        <f>Table1[[#This Row],[Quantity_Sold]] * Table1[[#This Row],[Unit_Price]] * (1 - (Table1[[#This Row],[Discount]] / 100))</f>
        <v>55715.734623999997</v>
      </c>
      <c r="F415" s="2">
        <f>Table1[[#This Row],[Quantity_Sold]] * ((Table1[[#This Row],[Unit_Price]] * (1 - (Table1[[#This Row],[Discount]] / 100))) - Table1[[#This Row],[Unit_Cost]])</f>
        <v>1338.9946239999945</v>
      </c>
      <c r="G415" s="3">
        <v>22</v>
      </c>
      <c r="H415" t="s">
        <v>16</v>
      </c>
      <c r="I415">
        <v>2471.67</v>
      </c>
      <c r="J415" s="2">
        <v>2533.04</v>
      </c>
      <c r="K415" t="s">
        <v>17</v>
      </c>
      <c r="L415" s="4">
        <v>0.02</v>
      </c>
      <c r="M415" t="s">
        <v>27</v>
      </c>
      <c r="N415" t="s">
        <v>22</v>
      </c>
      <c r="O415" t="s">
        <v>46</v>
      </c>
    </row>
    <row r="416" spans="1:15" x14ac:dyDescent="0.25">
      <c r="A416" s="3">
        <v>1050</v>
      </c>
      <c r="B416" s="1">
        <v>44968</v>
      </c>
      <c r="C416" t="s">
        <v>33</v>
      </c>
      <c r="D416" t="s">
        <v>21</v>
      </c>
      <c r="E416" s="2">
        <f>Table1[[#This Row],[Quantity_Sold]] * Table1[[#This Row],[Unit_Price]] * (1 - (Table1[[#This Row],[Discount]] / 100))</f>
        <v>40848.454079999952</v>
      </c>
      <c r="F416" s="2">
        <f>Table1[[#This Row],[Quantity_Sold]] * ((Table1[[#This Row],[Unit_Price]] * (1 - (Table1[[#This Row],[Discount]] / 100))) - Table1[[#This Row],[Unit_Cost]])</f>
        <v>6765.5740799999585</v>
      </c>
      <c r="G416" s="3">
        <v>48</v>
      </c>
      <c r="H416" t="s">
        <v>16</v>
      </c>
      <c r="I416">
        <v>710.06</v>
      </c>
      <c r="J416" s="2">
        <v>851.349999999999</v>
      </c>
      <c r="K416" t="s">
        <v>17</v>
      </c>
      <c r="L416" s="4">
        <v>0.04</v>
      </c>
      <c r="M416" t="s">
        <v>27</v>
      </c>
      <c r="N416" t="s">
        <v>19</v>
      </c>
      <c r="O416" t="s">
        <v>37</v>
      </c>
    </row>
    <row r="417" spans="1:15" x14ac:dyDescent="0.25">
      <c r="A417" s="3">
        <v>1025</v>
      </c>
      <c r="B417" s="1">
        <v>45282</v>
      </c>
      <c r="C417" t="s">
        <v>14</v>
      </c>
      <c r="D417" t="s">
        <v>25</v>
      </c>
      <c r="E417" s="2">
        <f>Table1[[#This Row],[Quantity_Sold]] * Table1[[#This Row],[Unit_Price]] * (1 - (Table1[[#This Row],[Discount]] / 100))</f>
        <v>16635.382180999892</v>
      </c>
      <c r="F417" s="2">
        <f>Table1[[#This Row],[Quantity_Sold]] * ((Table1[[#This Row],[Unit_Price]] * (1 - (Table1[[#This Row],[Discount]] / 100))) - Table1[[#This Row],[Unit_Cost]])</f>
        <v>2878.8921809998919</v>
      </c>
      <c r="G417" s="3">
        <v>11</v>
      </c>
      <c r="H417" t="s">
        <v>26</v>
      </c>
      <c r="I417">
        <v>1250.5899999999999</v>
      </c>
      <c r="J417" s="2">
        <v>1515.48999999999</v>
      </c>
      <c r="K417" t="s">
        <v>17</v>
      </c>
      <c r="L417" s="4">
        <v>0.21</v>
      </c>
      <c r="M417" t="s">
        <v>27</v>
      </c>
      <c r="N417" t="s">
        <v>22</v>
      </c>
      <c r="O417" t="s">
        <v>32</v>
      </c>
    </row>
    <row r="418" spans="1:15" x14ac:dyDescent="0.25">
      <c r="A418" s="3">
        <v>1024</v>
      </c>
      <c r="B418" s="1">
        <v>44967</v>
      </c>
      <c r="C418" t="s">
        <v>24</v>
      </c>
      <c r="D418" t="s">
        <v>34</v>
      </c>
      <c r="E418" s="2">
        <f>Table1[[#This Row],[Quantity_Sold]] * Table1[[#This Row],[Unit_Price]] * (1 - (Table1[[#This Row],[Discount]] / 100))</f>
        <v>23144.908331999999</v>
      </c>
      <c r="F418" s="2">
        <f>Table1[[#This Row],[Quantity_Sold]] * ((Table1[[#This Row],[Unit_Price]] * (1 - (Table1[[#This Row],[Discount]] / 100))) - Table1[[#This Row],[Unit_Cost]])</f>
        <v>3724.4683319999972</v>
      </c>
      <c r="G418" s="3">
        <v>13</v>
      </c>
      <c r="H418" t="s">
        <v>29</v>
      </c>
      <c r="I418">
        <v>1493.88</v>
      </c>
      <c r="J418" s="2">
        <v>1781.09</v>
      </c>
      <c r="K418" t="s">
        <v>30</v>
      </c>
      <c r="L418" s="4">
        <v>0.04</v>
      </c>
      <c r="M418" t="s">
        <v>18</v>
      </c>
      <c r="N418" t="s">
        <v>22</v>
      </c>
      <c r="O418" t="s">
        <v>50</v>
      </c>
    </row>
    <row r="419" spans="1:15" x14ac:dyDescent="0.25">
      <c r="A419" s="3">
        <v>1013</v>
      </c>
      <c r="B419" s="1">
        <v>44960</v>
      </c>
      <c r="C419" t="s">
        <v>14</v>
      </c>
      <c r="D419" t="s">
        <v>15</v>
      </c>
      <c r="E419" s="2">
        <f>Table1[[#This Row],[Quantity_Sold]] * Table1[[#This Row],[Unit_Price]] * (1 - (Table1[[#This Row],[Discount]] / 100))</f>
        <v>194628.36216599998</v>
      </c>
      <c r="F419" s="2">
        <f>Table1[[#This Row],[Quantity_Sold]] * ((Table1[[#This Row],[Unit_Price]] * (1 - (Table1[[#This Row],[Discount]] / 100))) - Table1[[#This Row],[Unit_Cost]])</f>
        <v>364.50216599999112</v>
      </c>
      <c r="G419" s="3">
        <v>42</v>
      </c>
      <c r="H419" t="s">
        <v>29</v>
      </c>
      <c r="I419">
        <v>4625.33</v>
      </c>
      <c r="J419" s="2">
        <v>4642.83</v>
      </c>
      <c r="K419" t="s">
        <v>30</v>
      </c>
      <c r="L419" s="4">
        <v>0.19</v>
      </c>
      <c r="M419" t="s">
        <v>31</v>
      </c>
      <c r="N419" t="s">
        <v>19</v>
      </c>
      <c r="O419" t="s">
        <v>20</v>
      </c>
    </row>
    <row r="420" spans="1:15" x14ac:dyDescent="0.25">
      <c r="A420" s="3">
        <v>1060</v>
      </c>
      <c r="B420" s="1">
        <v>44943</v>
      </c>
      <c r="C420" t="s">
        <v>14</v>
      </c>
      <c r="D420" t="s">
        <v>25</v>
      </c>
      <c r="E420" s="2">
        <f>Table1[[#This Row],[Quantity_Sold]] * Table1[[#This Row],[Unit_Price]] * (1 - (Table1[[#This Row],[Discount]] / 100))</f>
        <v>4747.7202660000003</v>
      </c>
      <c r="F420" s="2">
        <f>Table1[[#This Row],[Quantity_Sold]] * ((Table1[[#This Row],[Unit_Price]] * (1 - (Table1[[#This Row],[Discount]] / 100))) - Table1[[#This Row],[Unit_Cost]])</f>
        <v>1176.4902660000002</v>
      </c>
      <c r="G420" s="3">
        <v>3</v>
      </c>
      <c r="H420" t="s">
        <v>35</v>
      </c>
      <c r="I420">
        <v>1190.4100000000001</v>
      </c>
      <c r="J420" s="2">
        <v>1582.89</v>
      </c>
      <c r="K420" t="s">
        <v>30</v>
      </c>
      <c r="L420" s="4">
        <v>0.02</v>
      </c>
      <c r="M420" t="s">
        <v>31</v>
      </c>
      <c r="N420" t="s">
        <v>22</v>
      </c>
      <c r="O420" t="s">
        <v>32</v>
      </c>
    </row>
    <row r="421" spans="1:15" x14ac:dyDescent="0.25">
      <c r="A421" s="3">
        <v>1007</v>
      </c>
      <c r="B421" s="1">
        <v>45091</v>
      </c>
      <c r="C421" t="s">
        <v>42</v>
      </c>
      <c r="D421" t="s">
        <v>15</v>
      </c>
      <c r="E421" s="2">
        <f>Table1[[#This Row],[Quantity_Sold]] * Table1[[#This Row],[Unit_Price]] * (1 - (Table1[[#This Row],[Discount]] / 100))</f>
        <v>15002.525340000002</v>
      </c>
      <c r="F421" s="2">
        <f>Table1[[#This Row],[Quantity_Sold]] * ((Table1[[#This Row],[Unit_Price]] * (1 - (Table1[[#This Row],[Discount]] / 100))) - Table1[[#This Row],[Unit_Cost]])</f>
        <v>1666.6853400000014</v>
      </c>
      <c r="G421" s="3">
        <v>9</v>
      </c>
      <c r="H421" t="s">
        <v>29</v>
      </c>
      <c r="I421">
        <v>1481.76</v>
      </c>
      <c r="J421" s="2">
        <v>1668.95</v>
      </c>
      <c r="K421" t="s">
        <v>17</v>
      </c>
      <c r="L421" s="4">
        <v>0.12</v>
      </c>
      <c r="M421" t="s">
        <v>31</v>
      </c>
      <c r="N421" t="s">
        <v>22</v>
      </c>
      <c r="O421" t="s">
        <v>49</v>
      </c>
    </row>
    <row r="422" spans="1:15" x14ac:dyDescent="0.25">
      <c r="A422" s="3">
        <v>1057</v>
      </c>
      <c r="B422" s="1">
        <v>45079</v>
      </c>
      <c r="C422" t="s">
        <v>14</v>
      </c>
      <c r="D422" t="s">
        <v>25</v>
      </c>
      <c r="E422" s="2">
        <f>Table1[[#This Row],[Quantity_Sold]] * Table1[[#This Row],[Unit_Price]] * (1 - (Table1[[#This Row],[Discount]] / 100))</f>
        <v>25036.8753</v>
      </c>
      <c r="F422" s="2">
        <f>Table1[[#This Row],[Quantity_Sold]] * ((Table1[[#This Row],[Unit_Price]] * (1 - (Table1[[#This Row],[Discount]] / 100))) - Table1[[#This Row],[Unit_Cost]])</f>
        <v>2497.2752999999984</v>
      </c>
      <c r="G422" s="3">
        <v>12</v>
      </c>
      <c r="H422" t="s">
        <v>35</v>
      </c>
      <c r="I422">
        <v>1878.3</v>
      </c>
      <c r="J422" s="2">
        <v>2087.4499999999998</v>
      </c>
      <c r="K422" t="s">
        <v>30</v>
      </c>
      <c r="L422" s="4">
        <v>0.05</v>
      </c>
      <c r="M422" t="s">
        <v>27</v>
      </c>
      <c r="N422" t="s">
        <v>22</v>
      </c>
      <c r="O422" t="s">
        <v>32</v>
      </c>
    </row>
    <row r="423" spans="1:15" x14ac:dyDescent="0.25">
      <c r="A423" s="3">
        <v>1036</v>
      </c>
      <c r="B423" s="1">
        <v>45002</v>
      </c>
      <c r="C423" t="s">
        <v>42</v>
      </c>
      <c r="D423" t="s">
        <v>34</v>
      </c>
      <c r="E423" s="2">
        <f>Table1[[#This Row],[Quantity_Sold]] * Table1[[#This Row],[Unit_Price]] * (1 - (Table1[[#This Row],[Discount]] / 100))</f>
        <v>86042.939371999993</v>
      </c>
      <c r="F423" s="2">
        <f>Table1[[#This Row],[Quantity_Sold]] * ((Table1[[#This Row],[Unit_Price]] * (1 - (Table1[[#This Row],[Discount]] / 100))) - Table1[[#This Row],[Unit_Cost]])</f>
        <v>9325.7493719999911</v>
      </c>
      <c r="G423" s="3">
        <v>23</v>
      </c>
      <c r="H423" t="s">
        <v>26</v>
      </c>
      <c r="I423">
        <v>3335.53</v>
      </c>
      <c r="J423" s="2">
        <v>3742.12</v>
      </c>
      <c r="K423" t="s">
        <v>30</v>
      </c>
      <c r="L423" s="4">
        <v>0.03</v>
      </c>
      <c r="M423" t="s">
        <v>27</v>
      </c>
      <c r="N423" t="s">
        <v>22</v>
      </c>
      <c r="O423" t="s">
        <v>52</v>
      </c>
    </row>
    <row r="424" spans="1:15" x14ac:dyDescent="0.25">
      <c r="A424" s="3">
        <v>1045</v>
      </c>
      <c r="B424" s="1">
        <v>45013</v>
      </c>
      <c r="C424" t="s">
        <v>38</v>
      </c>
      <c r="D424" t="s">
        <v>21</v>
      </c>
      <c r="E424" s="2">
        <f>Table1[[#This Row],[Quantity_Sold]] * Table1[[#This Row],[Unit_Price]] * (1 - (Table1[[#This Row],[Discount]] / 100))</f>
        <v>11616.039106</v>
      </c>
      <c r="F424" s="2">
        <f>Table1[[#This Row],[Quantity_Sold]] * ((Table1[[#This Row],[Unit_Price]] * (1 - (Table1[[#This Row],[Discount]] / 100))) - Table1[[#This Row],[Unit_Cost]])</f>
        <v>2722.1191060000006</v>
      </c>
      <c r="G424" s="3">
        <v>14</v>
      </c>
      <c r="H424" t="s">
        <v>29</v>
      </c>
      <c r="I424">
        <v>635.28</v>
      </c>
      <c r="J424" s="2">
        <v>831.13</v>
      </c>
      <c r="K424" t="s">
        <v>17</v>
      </c>
      <c r="L424" s="4">
        <v>0.17</v>
      </c>
      <c r="M424" t="s">
        <v>27</v>
      </c>
      <c r="N424" t="s">
        <v>22</v>
      </c>
      <c r="O424" t="s">
        <v>41</v>
      </c>
    </row>
    <row r="425" spans="1:15" x14ac:dyDescent="0.25">
      <c r="A425" s="3">
        <v>1020</v>
      </c>
      <c r="B425" s="1">
        <v>45043</v>
      </c>
      <c r="C425" t="s">
        <v>42</v>
      </c>
      <c r="D425" t="s">
        <v>25</v>
      </c>
      <c r="E425" s="2">
        <f>Table1[[#This Row],[Quantity_Sold]] * Table1[[#This Row],[Unit_Price]] * (1 - (Table1[[#This Row],[Discount]] / 100))</f>
        <v>158126.61229200001</v>
      </c>
      <c r="F425" s="2">
        <f>Table1[[#This Row],[Quantity_Sold]] * ((Table1[[#This Row],[Unit_Price]] * (1 - (Table1[[#This Row],[Discount]] / 100))) - Table1[[#This Row],[Unit_Cost]])</f>
        <v>649.62229200001457</v>
      </c>
      <c r="G425" s="3">
        <v>33</v>
      </c>
      <c r="H425" t="s">
        <v>16</v>
      </c>
      <c r="I425">
        <v>4772.03</v>
      </c>
      <c r="J425" s="2">
        <v>4805.17</v>
      </c>
      <c r="K425" t="s">
        <v>17</v>
      </c>
      <c r="L425" s="4">
        <v>0.28000000000000003</v>
      </c>
      <c r="M425" t="s">
        <v>27</v>
      </c>
      <c r="N425" t="s">
        <v>19</v>
      </c>
      <c r="O425" t="s">
        <v>43</v>
      </c>
    </row>
    <row r="426" spans="1:15" x14ac:dyDescent="0.25">
      <c r="A426" s="3">
        <v>1065</v>
      </c>
      <c r="B426" s="1">
        <v>45288</v>
      </c>
      <c r="C426" t="s">
        <v>24</v>
      </c>
      <c r="D426" t="s">
        <v>21</v>
      </c>
      <c r="E426" s="2">
        <f>Table1[[#This Row],[Quantity_Sold]] * Table1[[#This Row],[Unit_Price]] * (1 - (Table1[[#This Row],[Discount]] / 100))</f>
        <v>79742.768255999996</v>
      </c>
      <c r="F426" s="2">
        <f>Table1[[#This Row],[Quantity_Sold]] * ((Table1[[#This Row],[Unit_Price]] * (1 - (Table1[[#This Row],[Discount]] / 100))) - Table1[[#This Row],[Unit_Cost]])</f>
        <v>1720.3282560000025</v>
      </c>
      <c r="G426" s="3">
        <v>18</v>
      </c>
      <c r="H426" t="s">
        <v>26</v>
      </c>
      <c r="I426">
        <v>4334.58</v>
      </c>
      <c r="J426" s="2">
        <v>4431.04</v>
      </c>
      <c r="K426" t="s">
        <v>30</v>
      </c>
      <c r="L426" s="4">
        <v>0.02</v>
      </c>
      <c r="M426" t="s">
        <v>27</v>
      </c>
      <c r="N426" t="s">
        <v>22</v>
      </c>
      <c r="O426" t="s">
        <v>47</v>
      </c>
    </row>
    <row r="427" spans="1:15" x14ac:dyDescent="0.25">
      <c r="A427" s="3">
        <v>1008</v>
      </c>
      <c r="B427" s="1">
        <v>45268</v>
      </c>
      <c r="C427" t="s">
        <v>42</v>
      </c>
      <c r="D427" t="s">
        <v>25</v>
      </c>
      <c r="E427" s="2">
        <f>Table1[[#This Row],[Quantity_Sold]] * Table1[[#This Row],[Unit_Price]] * (1 - (Table1[[#This Row],[Discount]] / 100))</f>
        <v>165679.22664299954</v>
      </c>
      <c r="F427" s="2">
        <f>Table1[[#This Row],[Quantity_Sold]] * ((Table1[[#This Row],[Unit_Price]] * (1 - (Table1[[#This Row],[Discount]] / 100))) - Table1[[#This Row],[Unit_Cost]])</f>
        <v>23225.44664299953</v>
      </c>
      <c r="G427" s="3">
        <v>49</v>
      </c>
      <c r="H427" t="s">
        <v>35</v>
      </c>
      <c r="I427">
        <v>2907.22</v>
      </c>
      <c r="J427" s="2">
        <v>3385.6099999999901</v>
      </c>
      <c r="K427" t="s">
        <v>30</v>
      </c>
      <c r="L427" s="4">
        <v>0.13</v>
      </c>
      <c r="M427" t="s">
        <v>18</v>
      </c>
      <c r="N427" t="s">
        <v>19</v>
      </c>
      <c r="O427" t="s">
        <v>43</v>
      </c>
    </row>
    <row r="428" spans="1:15" x14ac:dyDescent="0.25">
      <c r="A428" s="3">
        <v>1016</v>
      </c>
      <c r="B428" s="1">
        <v>44953</v>
      </c>
      <c r="C428" t="s">
        <v>38</v>
      </c>
      <c r="D428" t="s">
        <v>15</v>
      </c>
      <c r="E428" s="2">
        <f>Table1[[#This Row],[Quantity_Sold]] * Table1[[#This Row],[Unit_Price]] * (1 - (Table1[[#This Row],[Discount]] / 100))</f>
        <v>140375.18176099999</v>
      </c>
      <c r="F428" s="2">
        <f>Table1[[#This Row],[Quantity_Sold]] * ((Table1[[#This Row],[Unit_Price]] * (1 - (Table1[[#This Row],[Discount]] / 100))) - Table1[[#This Row],[Unit_Cost]])</f>
        <v>1529.0917610000065</v>
      </c>
      <c r="G428" s="3">
        <v>41</v>
      </c>
      <c r="H428" t="s">
        <v>26</v>
      </c>
      <c r="I428">
        <v>3386.49</v>
      </c>
      <c r="J428" s="2">
        <v>3430.99</v>
      </c>
      <c r="K428" t="s">
        <v>30</v>
      </c>
      <c r="L428" s="4">
        <v>0.21</v>
      </c>
      <c r="M428" t="s">
        <v>27</v>
      </c>
      <c r="N428" t="s">
        <v>22</v>
      </c>
      <c r="O428" t="s">
        <v>40</v>
      </c>
    </row>
    <row r="429" spans="1:15" x14ac:dyDescent="0.25">
      <c r="A429" s="3">
        <v>1014</v>
      </c>
      <c r="B429" s="1">
        <v>45239</v>
      </c>
      <c r="C429" t="s">
        <v>24</v>
      </c>
      <c r="D429" t="s">
        <v>15</v>
      </c>
      <c r="E429" s="2">
        <f>Table1[[#This Row],[Quantity_Sold]] * Table1[[#This Row],[Unit_Price]] * (1 - (Table1[[#This Row],[Discount]] / 100))</f>
        <v>2843.523486</v>
      </c>
      <c r="F429" s="2">
        <f>Table1[[#This Row],[Quantity_Sold]] * ((Table1[[#This Row],[Unit_Price]] * (1 - (Table1[[#This Row],[Discount]] / 100))) - Table1[[#This Row],[Unit_Cost]])</f>
        <v>1651.2934859999998</v>
      </c>
      <c r="G429" s="3">
        <v>9</v>
      </c>
      <c r="H429" t="s">
        <v>35</v>
      </c>
      <c r="I429">
        <v>132.47</v>
      </c>
      <c r="J429" s="2">
        <v>316.39</v>
      </c>
      <c r="K429" t="s">
        <v>30</v>
      </c>
      <c r="L429" s="4">
        <v>0.14000000000000001</v>
      </c>
      <c r="M429" t="s">
        <v>31</v>
      </c>
      <c r="N429" t="s">
        <v>19</v>
      </c>
      <c r="O429" t="s">
        <v>45</v>
      </c>
    </row>
    <row r="430" spans="1:15" x14ac:dyDescent="0.25">
      <c r="A430" s="3">
        <v>1076</v>
      </c>
      <c r="B430" s="1">
        <v>45213</v>
      </c>
      <c r="C430" t="s">
        <v>33</v>
      </c>
      <c r="D430" t="s">
        <v>25</v>
      </c>
      <c r="E430" s="2">
        <f>Table1[[#This Row],[Quantity_Sold]] * Table1[[#This Row],[Unit_Price]] * (1 - (Table1[[#This Row],[Discount]] / 100))</f>
        <v>45530.284432</v>
      </c>
      <c r="F430" s="2">
        <f>Table1[[#This Row],[Quantity_Sold]] * ((Table1[[#This Row],[Unit_Price]] * (1 - (Table1[[#This Row],[Discount]] / 100))) - Table1[[#This Row],[Unit_Cost]])</f>
        <v>5791.3444320000035</v>
      </c>
      <c r="G430" s="3">
        <v>23</v>
      </c>
      <c r="H430" t="s">
        <v>26</v>
      </c>
      <c r="I430">
        <v>1727.78</v>
      </c>
      <c r="J430" s="2">
        <v>1984.34</v>
      </c>
      <c r="K430" t="s">
        <v>17</v>
      </c>
      <c r="L430" s="4">
        <v>0.24</v>
      </c>
      <c r="M430" t="s">
        <v>27</v>
      </c>
      <c r="N430" t="s">
        <v>19</v>
      </c>
      <c r="O430" t="s">
        <v>44</v>
      </c>
    </row>
    <row r="431" spans="1:15" x14ac:dyDescent="0.25">
      <c r="A431" s="3">
        <v>1087</v>
      </c>
      <c r="B431" s="1">
        <v>45060</v>
      </c>
      <c r="C431" t="s">
        <v>33</v>
      </c>
      <c r="D431" t="s">
        <v>21</v>
      </c>
      <c r="E431" s="2">
        <f>Table1[[#This Row],[Quantity_Sold]] * Table1[[#This Row],[Unit_Price]] * (1 - (Table1[[#This Row],[Discount]] / 100))</f>
        <v>42381.098849999995</v>
      </c>
      <c r="F431" s="2">
        <f>Table1[[#This Row],[Quantity_Sold]] * ((Table1[[#This Row],[Unit_Price]] * (1 - (Table1[[#This Row],[Discount]] / 100))) - Table1[[#This Row],[Unit_Cost]])</f>
        <v>2495.8988499999987</v>
      </c>
      <c r="G431" s="3">
        <v>10</v>
      </c>
      <c r="H431" t="s">
        <v>35</v>
      </c>
      <c r="I431">
        <v>3988.52</v>
      </c>
      <c r="J431" s="2">
        <v>4240.2299999999996</v>
      </c>
      <c r="K431" t="s">
        <v>30</v>
      </c>
      <c r="L431" s="4">
        <v>0.05</v>
      </c>
      <c r="M431" t="s">
        <v>31</v>
      </c>
      <c r="N431" t="s">
        <v>19</v>
      </c>
      <c r="O431" t="s">
        <v>37</v>
      </c>
    </row>
    <row r="432" spans="1:15" x14ac:dyDescent="0.25">
      <c r="A432" s="3">
        <v>1015</v>
      </c>
      <c r="B432" s="1">
        <v>45145</v>
      </c>
      <c r="C432" t="s">
        <v>42</v>
      </c>
      <c r="D432" t="s">
        <v>34</v>
      </c>
      <c r="E432" s="2">
        <f>Table1[[#This Row],[Quantity_Sold]] * Table1[[#This Row],[Unit_Price]] * (1 - (Table1[[#This Row],[Discount]] / 100))</f>
        <v>8439.5740519999999</v>
      </c>
      <c r="F432" s="2">
        <f>Table1[[#This Row],[Quantity_Sold]] * ((Table1[[#This Row],[Unit_Price]] * (1 - (Table1[[#This Row],[Discount]] / 100))) - Table1[[#This Row],[Unit_Cost]])</f>
        <v>202.31405199999961</v>
      </c>
      <c r="G432" s="3">
        <v>19</v>
      </c>
      <c r="H432" t="s">
        <v>29</v>
      </c>
      <c r="I432">
        <v>433.54</v>
      </c>
      <c r="J432" s="2">
        <v>445.48</v>
      </c>
      <c r="K432" t="s">
        <v>30</v>
      </c>
      <c r="L432" s="4">
        <v>0.28999999999999998</v>
      </c>
      <c r="M432" t="s">
        <v>27</v>
      </c>
      <c r="N432" t="s">
        <v>22</v>
      </c>
      <c r="O432" t="s">
        <v>52</v>
      </c>
    </row>
    <row r="433" spans="1:15" x14ac:dyDescent="0.25">
      <c r="A433" s="3">
        <v>1092</v>
      </c>
      <c r="B433" s="1">
        <v>45094</v>
      </c>
      <c r="C433" t="s">
        <v>42</v>
      </c>
      <c r="D433" t="s">
        <v>34</v>
      </c>
      <c r="E433" s="2">
        <f>Table1[[#This Row],[Quantity_Sold]] * Table1[[#This Row],[Unit_Price]] * (1 - (Table1[[#This Row],[Discount]] / 100))</f>
        <v>79945.889672000005</v>
      </c>
      <c r="F433" s="2">
        <f>Table1[[#This Row],[Quantity_Sold]] * ((Table1[[#This Row],[Unit_Price]] * (1 - (Table1[[#This Row],[Discount]] / 100))) - Table1[[#This Row],[Unit_Cost]])</f>
        <v>11915.739672000002</v>
      </c>
      <c r="G433" s="3">
        <v>47</v>
      </c>
      <c r="H433" t="s">
        <v>16</v>
      </c>
      <c r="I433">
        <v>1447.45</v>
      </c>
      <c r="J433" s="2">
        <v>1703.02</v>
      </c>
      <c r="K433" t="s">
        <v>17</v>
      </c>
      <c r="L433" s="4">
        <v>0.12</v>
      </c>
      <c r="M433" t="s">
        <v>27</v>
      </c>
      <c r="N433" t="s">
        <v>22</v>
      </c>
      <c r="O433" t="s">
        <v>52</v>
      </c>
    </row>
    <row r="434" spans="1:15" x14ac:dyDescent="0.25">
      <c r="A434" s="3">
        <v>1098</v>
      </c>
      <c r="B434" s="1">
        <v>45024</v>
      </c>
      <c r="C434" t="s">
        <v>38</v>
      </c>
      <c r="D434" t="s">
        <v>15</v>
      </c>
      <c r="E434" s="2">
        <f>Table1[[#This Row],[Quantity_Sold]] * Table1[[#This Row],[Unit_Price]] * (1 - (Table1[[#This Row],[Discount]] / 100))</f>
        <v>15710.62365</v>
      </c>
      <c r="F434" s="2">
        <f>Table1[[#This Row],[Quantity_Sold]] * ((Table1[[#This Row],[Unit_Price]] * (1 - (Table1[[#This Row],[Discount]] / 100))) - Table1[[#This Row],[Unit_Cost]])</f>
        <v>974.523650000001</v>
      </c>
      <c r="G434" s="3">
        <v>5</v>
      </c>
      <c r="H434" t="s">
        <v>35</v>
      </c>
      <c r="I434">
        <v>2947.22</v>
      </c>
      <c r="J434" s="2">
        <v>3145.27</v>
      </c>
      <c r="K434" t="s">
        <v>30</v>
      </c>
      <c r="L434" s="4">
        <v>0.1</v>
      </c>
      <c r="M434" t="s">
        <v>31</v>
      </c>
      <c r="N434" t="s">
        <v>22</v>
      </c>
      <c r="O434" t="s">
        <v>40</v>
      </c>
    </row>
    <row r="435" spans="1:15" x14ac:dyDescent="0.25">
      <c r="A435" s="3">
        <v>1066</v>
      </c>
      <c r="B435" s="1">
        <v>45194</v>
      </c>
      <c r="C435" t="s">
        <v>38</v>
      </c>
      <c r="D435" t="s">
        <v>34</v>
      </c>
      <c r="E435" s="2">
        <f>Table1[[#This Row],[Quantity_Sold]] * Table1[[#This Row],[Unit_Price]] * (1 - (Table1[[#This Row],[Discount]] / 100))</f>
        <v>84640.680567999982</v>
      </c>
      <c r="F435" s="2">
        <f>Table1[[#This Row],[Quantity_Sold]] * ((Table1[[#This Row],[Unit_Price]] * (1 - (Table1[[#This Row],[Discount]] / 100))) - Table1[[#This Row],[Unit_Cost]])</f>
        <v>22636.40056799999</v>
      </c>
      <c r="G435" s="3">
        <v>47</v>
      </c>
      <c r="H435" t="s">
        <v>26</v>
      </c>
      <c r="I435">
        <v>1319.24</v>
      </c>
      <c r="J435" s="2">
        <v>1805.56</v>
      </c>
      <c r="K435" t="s">
        <v>30</v>
      </c>
      <c r="L435" s="4">
        <v>0.26</v>
      </c>
      <c r="M435" t="s">
        <v>31</v>
      </c>
      <c r="N435" t="s">
        <v>22</v>
      </c>
      <c r="O435" t="s">
        <v>48</v>
      </c>
    </row>
    <row r="436" spans="1:15" x14ac:dyDescent="0.25">
      <c r="A436" s="3">
        <v>1032</v>
      </c>
      <c r="B436" s="1">
        <v>45163</v>
      </c>
      <c r="C436" t="s">
        <v>14</v>
      </c>
      <c r="D436" t="s">
        <v>15</v>
      </c>
      <c r="E436" s="2">
        <f>Table1[[#This Row],[Quantity_Sold]] * Table1[[#This Row],[Unit_Price]] * (1 - (Table1[[#This Row],[Discount]] / 100))</f>
        <v>109320.97786199978</v>
      </c>
      <c r="F436" s="2">
        <f>Table1[[#This Row],[Quantity_Sold]] * ((Table1[[#This Row],[Unit_Price]] * (1 - (Table1[[#This Row],[Discount]] / 100))) - Table1[[#This Row],[Unit_Cost]])</f>
        <v>1837.6078619997797</v>
      </c>
      <c r="G436" s="3">
        <v>23</v>
      </c>
      <c r="H436" t="s">
        <v>35</v>
      </c>
      <c r="I436">
        <v>4673.1899999999996</v>
      </c>
      <c r="J436" s="2">
        <v>4761.1799999999903</v>
      </c>
      <c r="K436" t="s">
        <v>17</v>
      </c>
      <c r="L436" s="4">
        <v>0.17</v>
      </c>
      <c r="M436" t="s">
        <v>31</v>
      </c>
      <c r="N436" t="s">
        <v>22</v>
      </c>
      <c r="O436" t="s">
        <v>20</v>
      </c>
    </row>
    <row r="437" spans="1:15" x14ac:dyDescent="0.25">
      <c r="A437" s="3">
        <v>1087</v>
      </c>
      <c r="B437" s="1">
        <v>45235</v>
      </c>
      <c r="C437" t="s">
        <v>38</v>
      </c>
      <c r="D437" t="s">
        <v>34</v>
      </c>
      <c r="E437" s="2">
        <f>Table1[[#This Row],[Quantity_Sold]] * Table1[[#This Row],[Unit_Price]] * (1 - (Table1[[#This Row],[Discount]] / 100))</f>
        <v>26428.697400000001</v>
      </c>
      <c r="F437" s="2">
        <f>Table1[[#This Row],[Quantity_Sold]] * ((Table1[[#This Row],[Unit_Price]] * (1 - (Table1[[#This Row],[Discount]] / 100))) - Table1[[#This Row],[Unit_Cost]])</f>
        <v>5466.4974000000002</v>
      </c>
      <c r="G437" s="3">
        <v>30</v>
      </c>
      <c r="H437" t="s">
        <v>35</v>
      </c>
      <c r="I437">
        <v>698.74</v>
      </c>
      <c r="J437" s="2">
        <v>882.28</v>
      </c>
      <c r="K437" t="s">
        <v>17</v>
      </c>
      <c r="L437" s="4">
        <v>0.15</v>
      </c>
      <c r="M437" t="s">
        <v>31</v>
      </c>
      <c r="N437" t="s">
        <v>19</v>
      </c>
      <c r="O437" t="s">
        <v>48</v>
      </c>
    </row>
    <row r="438" spans="1:15" x14ac:dyDescent="0.25">
      <c r="A438" s="3">
        <v>1063</v>
      </c>
      <c r="B438" s="1">
        <v>45099</v>
      </c>
      <c r="C438" t="s">
        <v>14</v>
      </c>
      <c r="D438" t="s">
        <v>25</v>
      </c>
      <c r="E438" s="2">
        <f>Table1[[#This Row],[Quantity_Sold]] * Table1[[#This Row],[Unit_Price]] * (1 - (Table1[[#This Row],[Discount]] / 100))</f>
        <v>105084.55424999999</v>
      </c>
      <c r="F438" s="2">
        <f>Table1[[#This Row],[Quantity_Sold]] * ((Table1[[#This Row],[Unit_Price]] * (1 - (Table1[[#This Row],[Discount]] / 100))) - Table1[[#This Row],[Unit_Cost]])</f>
        <v>5157.0542499999992</v>
      </c>
      <c r="G438" s="3">
        <v>25</v>
      </c>
      <c r="H438" t="s">
        <v>35</v>
      </c>
      <c r="I438">
        <v>3997.1</v>
      </c>
      <c r="J438" s="2">
        <v>4212.6499999999996</v>
      </c>
      <c r="K438" t="s">
        <v>30</v>
      </c>
      <c r="L438" s="4">
        <v>0.22</v>
      </c>
      <c r="M438" t="s">
        <v>18</v>
      </c>
      <c r="N438" t="s">
        <v>19</v>
      </c>
      <c r="O438" t="s">
        <v>32</v>
      </c>
    </row>
    <row r="439" spans="1:15" x14ac:dyDescent="0.25">
      <c r="A439" s="3">
        <v>1086</v>
      </c>
      <c r="B439" s="1">
        <v>45116</v>
      </c>
      <c r="C439" t="s">
        <v>24</v>
      </c>
      <c r="D439" t="s">
        <v>15</v>
      </c>
      <c r="E439" s="2">
        <f>Table1[[#This Row],[Quantity_Sold]] * Table1[[#This Row],[Unit_Price]] * (1 - (Table1[[#This Row],[Discount]] / 100))</f>
        <v>77310.468395999997</v>
      </c>
      <c r="F439" s="2">
        <f>Table1[[#This Row],[Quantity_Sold]] * ((Table1[[#This Row],[Unit_Price]] * (1 - (Table1[[#This Row],[Discount]] / 100))) - Table1[[#This Row],[Unit_Cost]])</f>
        <v>5508.6683959999937</v>
      </c>
      <c r="G439" s="3">
        <v>28</v>
      </c>
      <c r="H439" t="s">
        <v>26</v>
      </c>
      <c r="I439">
        <v>2564.35</v>
      </c>
      <c r="J439" s="2">
        <v>2765.79</v>
      </c>
      <c r="K439" t="s">
        <v>17</v>
      </c>
      <c r="L439" s="4">
        <v>0.17</v>
      </c>
      <c r="M439" t="s">
        <v>31</v>
      </c>
      <c r="N439" t="s">
        <v>19</v>
      </c>
      <c r="O439" t="s">
        <v>45</v>
      </c>
    </row>
    <row r="440" spans="1:15" x14ac:dyDescent="0.25">
      <c r="A440" s="3">
        <v>1051</v>
      </c>
      <c r="B440" s="1">
        <v>45048</v>
      </c>
      <c r="C440" t="s">
        <v>42</v>
      </c>
      <c r="D440" t="s">
        <v>15</v>
      </c>
      <c r="E440" s="2">
        <f>Table1[[#This Row],[Quantity_Sold]] * Table1[[#This Row],[Unit_Price]] * (1 - (Table1[[#This Row],[Discount]] / 100))</f>
        <v>139343.89319999999</v>
      </c>
      <c r="F440" s="2">
        <f>Table1[[#This Row],[Quantity_Sold]] * ((Table1[[#This Row],[Unit_Price]] * (1 - (Table1[[#This Row],[Discount]] / 100))) - Table1[[#This Row],[Unit_Cost]])</f>
        <v>11363.133200000004</v>
      </c>
      <c r="G440" s="3">
        <v>34</v>
      </c>
      <c r="H440" t="s">
        <v>16</v>
      </c>
      <c r="I440">
        <v>3764.14</v>
      </c>
      <c r="J440" s="2">
        <v>4100.3999999999996</v>
      </c>
      <c r="K440" t="s">
        <v>17</v>
      </c>
      <c r="L440" s="4">
        <v>0.05</v>
      </c>
      <c r="M440" t="s">
        <v>27</v>
      </c>
      <c r="N440" t="s">
        <v>22</v>
      </c>
      <c r="O440" t="s">
        <v>49</v>
      </c>
    </row>
    <row r="441" spans="1:15" x14ac:dyDescent="0.25">
      <c r="A441" s="3">
        <v>1025</v>
      </c>
      <c r="B441" s="1">
        <v>44972</v>
      </c>
      <c r="C441" t="s">
        <v>24</v>
      </c>
      <c r="D441" t="s">
        <v>25</v>
      </c>
      <c r="E441" s="2">
        <f>Table1[[#This Row],[Quantity_Sold]] * Table1[[#This Row],[Unit_Price]] * (1 - (Table1[[#This Row],[Discount]] / 100))</f>
        <v>76510.472399999548</v>
      </c>
      <c r="F441" s="2">
        <f>Table1[[#This Row],[Quantity_Sold]] * ((Table1[[#This Row],[Unit_Price]] * (1 - (Table1[[#This Row],[Discount]] / 100))) - Table1[[#This Row],[Unit_Cost]])</f>
        <v>5048.6723999995602</v>
      </c>
      <c r="G441" s="3">
        <v>45</v>
      </c>
      <c r="H441" t="s">
        <v>29</v>
      </c>
      <c r="I441">
        <v>1588.04</v>
      </c>
      <c r="J441" s="2">
        <v>1703.6399999999901</v>
      </c>
      <c r="K441" t="s">
        <v>30</v>
      </c>
      <c r="L441" s="4">
        <v>0.2</v>
      </c>
      <c r="M441" t="s">
        <v>27</v>
      </c>
      <c r="N441" t="s">
        <v>22</v>
      </c>
      <c r="O441" t="s">
        <v>28</v>
      </c>
    </row>
    <row r="442" spans="1:15" x14ac:dyDescent="0.25">
      <c r="A442" s="3">
        <v>1058</v>
      </c>
      <c r="B442" s="1">
        <v>44990</v>
      </c>
      <c r="C442" t="s">
        <v>38</v>
      </c>
      <c r="D442" t="s">
        <v>15</v>
      </c>
      <c r="E442" s="2">
        <f>Table1[[#This Row],[Quantity_Sold]] * Table1[[#This Row],[Unit_Price]] * (1 - (Table1[[#This Row],[Discount]] / 100))</f>
        <v>130270.27103999954</v>
      </c>
      <c r="F442" s="2">
        <f>Table1[[#This Row],[Quantity_Sold]] * ((Table1[[#This Row],[Unit_Price]] * (1 - (Table1[[#This Row],[Discount]] / 100))) - Table1[[#This Row],[Unit_Cost]])</f>
        <v>5627.7110399995508</v>
      </c>
      <c r="G442" s="3">
        <v>48</v>
      </c>
      <c r="H442" t="s">
        <v>16</v>
      </c>
      <c r="I442">
        <v>2596.7199999999998</v>
      </c>
      <c r="J442" s="2">
        <v>2715.0499999999902</v>
      </c>
      <c r="K442" t="s">
        <v>17</v>
      </c>
      <c r="L442" s="4">
        <v>0.04</v>
      </c>
      <c r="M442" t="s">
        <v>18</v>
      </c>
      <c r="N442" t="s">
        <v>19</v>
      </c>
      <c r="O442" t="s">
        <v>40</v>
      </c>
    </row>
    <row r="443" spans="1:15" x14ac:dyDescent="0.25">
      <c r="A443" s="3">
        <v>1063</v>
      </c>
      <c r="B443" s="1">
        <v>45056</v>
      </c>
      <c r="C443" t="s">
        <v>24</v>
      </c>
      <c r="D443" t="s">
        <v>34</v>
      </c>
      <c r="E443" s="2">
        <f>Table1[[#This Row],[Quantity_Sold]] * Table1[[#This Row],[Unit_Price]] * (1 - (Table1[[#This Row],[Discount]] / 100))</f>
        <v>218430.58540800001</v>
      </c>
      <c r="F443" s="2">
        <f>Table1[[#This Row],[Quantity_Sold]] * ((Table1[[#This Row],[Unit_Price]] * (1 - (Table1[[#This Row],[Discount]] / 100))) - Table1[[#This Row],[Unit_Cost]])</f>
        <v>16738.075408000008</v>
      </c>
      <c r="G443" s="3">
        <v>47</v>
      </c>
      <c r="H443" t="s">
        <v>35</v>
      </c>
      <c r="I443">
        <v>4291.33</v>
      </c>
      <c r="J443" s="2">
        <v>4658.6400000000003</v>
      </c>
      <c r="K443" t="s">
        <v>30</v>
      </c>
      <c r="L443" s="4">
        <v>0.24</v>
      </c>
      <c r="M443" t="s">
        <v>31</v>
      </c>
      <c r="N443" t="s">
        <v>22</v>
      </c>
      <c r="O443" t="s">
        <v>50</v>
      </c>
    </row>
    <row r="444" spans="1:15" x14ac:dyDescent="0.25">
      <c r="A444" s="3">
        <v>1062</v>
      </c>
      <c r="B444" s="1">
        <v>45236</v>
      </c>
      <c r="C444" t="s">
        <v>24</v>
      </c>
      <c r="D444" t="s">
        <v>34</v>
      </c>
      <c r="E444" s="2">
        <f>Table1[[#This Row],[Quantity_Sold]] * Table1[[#This Row],[Unit_Price]] * (1 - (Table1[[#This Row],[Discount]] / 100))</f>
        <v>65208.535750000003</v>
      </c>
      <c r="F444" s="2">
        <f>Table1[[#This Row],[Quantity_Sold]] * ((Table1[[#This Row],[Unit_Price]] * (1 - (Table1[[#This Row],[Discount]] / 100))) - Table1[[#This Row],[Unit_Cost]])</f>
        <v>6182.2857499999936</v>
      </c>
      <c r="G444" s="3">
        <v>25</v>
      </c>
      <c r="H444" t="s">
        <v>26</v>
      </c>
      <c r="I444">
        <v>2361.0500000000002</v>
      </c>
      <c r="J444" s="2">
        <v>2616.19</v>
      </c>
      <c r="K444" t="s">
        <v>30</v>
      </c>
      <c r="L444" s="4">
        <v>0.3</v>
      </c>
      <c r="M444" t="s">
        <v>27</v>
      </c>
      <c r="N444" t="s">
        <v>22</v>
      </c>
      <c r="O444" t="s">
        <v>50</v>
      </c>
    </row>
    <row r="445" spans="1:15" x14ac:dyDescent="0.25">
      <c r="A445" s="3">
        <v>1022</v>
      </c>
      <c r="B445" s="1">
        <v>45289</v>
      </c>
      <c r="C445" t="s">
        <v>24</v>
      </c>
      <c r="D445" t="s">
        <v>15</v>
      </c>
      <c r="E445" s="2">
        <f>Table1[[#This Row],[Quantity_Sold]] * Table1[[#This Row],[Unit_Price]] * (1 - (Table1[[#This Row],[Discount]] / 100))</f>
        <v>20417.915560000001</v>
      </c>
      <c r="F445" s="2">
        <f>Table1[[#This Row],[Quantity_Sold]] * ((Table1[[#This Row],[Unit_Price]] * (1 - (Table1[[#This Row],[Discount]] / 100))) - Table1[[#This Row],[Unit_Cost]])</f>
        <v>2111.81556</v>
      </c>
      <c r="G445" s="3">
        <v>10</v>
      </c>
      <c r="H445" t="s">
        <v>16</v>
      </c>
      <c r="I445">
        <v>1830.61</v>
      </c>
      <c r="J445" s="2">
        <v>2044.04</v>
      </c>
      <c r="K445" t="s">
        <v>30</v>
      </c>
      <c r="L445" s="4">
        <v>0.11</v>
      </c>
      <c r="M445" t="s">
        <v>18</v>
      </c>
      <c r="N445" t="s">
        <v>19</v>
      </c>
      <c r="O445" t="s">
        <v>45</v>
      </c>
    </row>
    <row r="446" spans="1:15" x14ac:dyDescent="0.25">
      <c r="A446" s="3">
        <v>1058</v>
      </c>
      <c r="B446" s="1">
        <v>45119</v>
      </c>
      <c r="C446" t="s">
        <v>38</v>
      </c>
      <c r="D446" t="s">
        <v>34</v>
      </c>
      <c r="E446" s="2">
        <f>Table1[[#This Row],[Quantity_Sold]] * Table1[[#This Row],[Unit_Price]] * (1 - (Table1[[#This Row],[Discount]] / 100))</f>
        <v>39105.416783999863</v>
      </c>
      <c r="F446" s="2">
        <f>Table1[[#This Row],[Quantity_Sold]] * ((Table1[[#This Row],[Unit_Price]] * (1 - (Table1[[#This Row],[Discount]] / 100))) - Table1[[#This Row],[Unit_Cost]])</f>
        <v>1249.8367839998627</v>
      </c>
      <c r="G446" s="3">
        <v>14</v>
      </c>
      <c r="H446" t="s">
        <v>35</v>
      </c>
      <c r="I446">
        <v>2703.97</v>
      </c>
      <c r="J446" s="2">
        <v>2796.8799999999901</v>
      </c>
      <c r="K446" t="s">
        <v>30</v>
      </c>
      <c r="L446" s="4">
        <v>0.13</v>
      </c>
      <c r="M446" t="s">
        <v>27</v>
      </c>
      <c r="N446" t="s">
        <v>19</v>
      </c>
      <c r="O446" t="s">
        <v>48</v>
      </c>
    </row>
    <row r="447" spans="1:15" x14ac:dyDescent="0.25">
      <c r="A447" s="3">
        <v>1058</v>
      </c>
      <c r="B447" s="1">
        <v>45233</v>
      </c>
      <c r="C447" t="s">
        <v>24</v>
      </c>
      <c r="D447" t="s">
        <v>21</v>
      </c>
      <c r="E447" s="2">
        <f>Table1[[#This Row],[Quantity_Sold]] * Table1[[#This Row],[Unit_Price]] * (1 - (Table1[[#This Row],[Discount]] / 100))</f>
        <v>155503.72807199959</v>
      </c>
      <c r="F447" s="2">
        <f>Table1[[#This Row],[Quantity_Sold]] * ((Table1[[#This Row],[Unit_Price]] * (1 - (Table1[[#This Row],[Discount]] / 100))) - Table1[[#This Row],[Unit_Cost]])</f>
        <v>4263.8280719995901</v>
      </c>
      <c r="G447" s="3">
        <v>42</v>
      </c>
      <c r="H447" t="s">
        <v>29</v>
      </c>
      <c r="I447">
        <v>3600.95</v>
      </c>
      <c r="J447" s="2">
        <v>3702.8399999999901</v>
      </c>
      <c r="K447" t="s">
        <v>17</v>
      </c>
      <c r="L447" s="4">
        <v>0.01</v>
      </c>
      <c r="M447" t="s">
        <v>18</v>
      </c>
      <c r="N447" t="s">
        <v>22</v>
      </c>
      <c r="O447" t="s">
        <v>47</v>
      </c>
    </row>
    <row r="448" spans="1:15" x14ac:dyDescent="0.25">
      <c r="A448" s="3">
        <v>1086</v>
      </c>
      <c r="B448" s="1">
        <v>45107</v>
      </c>
      <c r="C448" t="s">
        <v>14</v>
      </c>
      <c r="D448" t="s">
        <v>15</v>
      </c>
      <c r="E448" s="2">
        <f>Table1[[#This Row],[Quantity_Sold]] * Table1[[#This Row],[Unit_Price]] * (1 - (Table1[[#This Row],[Discount]] / 100))</f>
        <v>103997.26</v>
      </c>
      <c r="F448" s="2">
        <f>Table1[[#This Row],[Quantity_Sold]] * ((Table1[[#This Row],[Unit_Price]] * (1 - (Table1[[#This Row],[Discount]] / 100))) - Table1[[#This Row],[Unit_Cost]])</f>
        <v>697.82000000000335</v>
      </c>
      <c r="G448" s="3">
        <v>46</v>
      </c>
      <c r="H448" t="s">
        <v>29</v>
      </c>
      <c r="I448">
        <v>2245.64</v>
      </c>
      <c r="J448" s="2">
        <v>2260.81</v>
      </c>
      <c r="K448" t="s">
        <v>30</v>
      </c>
      <c r="L448" s="4">
        <v>0</v>
      </c>
      <c r="M448" t="s">
        <v>18</v>
      </c>
      <c r="N448" t="s">
        <v>22</v>
      </c>
      <c r="O448" t="s">
        <v>20</v>
      </c>
    </row>
    <row r="449" spans="1:15" x14ac:dyDescent="0.25">
      <c r="A449" s="3">
        <v>1049</v>
      </c>
      <c r="B449" s="1">
        <v>45218</v>
      </c>
      <c r="C449" t="s">
        <v>38</v>
      </c>
      <c r="D449" t="s">
        <v>25</v>
      </c>
      <c r="E449" s="2">
        <f>Table1[[#This Row],[Quantity_Sold]] * Table1[[#This Row],[Unit_Price]] * (1 - (Table1[[#This Row],[Discount]] / 100))</f>
        <v>142168.01183999999</v>
      </c>
      <c r="F449" s="2">
        <f>Table1[[#This Row],[Quantity_Sold]] * ((Table1[[#This Row],[Unit_Price]] * (1 - (Table1[[#This Row],[Discount]] / 100))) - Table1[[#This Row],[Unit_Cost]])</f>
        <v>1244.8118400000112</v>
      </c>
      <c r="G449" s="3">
        <v>30</v>
      </c>
      <c r="H449" t="s">
        <v>29</v>
      </c>
      <c r="I449">
        <v>4697.4399999999996</v>
      </c>
      <c r="J449" s="2">
        <v>4752.24</v>
      </c>
      <c r="K449" t="s">
        <v>30</v>
      </c>
      <c r="L449" s="4">
        <v>0.28000000000000003</v>
      </c>
      <c r="M449" t="s">
        <v>31</v>
      </c>
      <c r="N449" t="s">
        <v>19</v>
      </c>
      <c r="O449" t="s">
        <v>39</v>
      </c>
    </row>
    <row r="450" spans="1:15" x14ac:dyDescent="0.25">
      <c r="A450" s="3">
        <v>1052</v>
      </c>
      <c r="B450" s="1">
        <v>45208</v>
      </c>
      <c r="C450" t="s">
        <v>24</v>
      </c>
      <c r="D450" t="s">
        <v>21</v>
      </c>
      <c r="E450" s="2">
        <f>Table1[[#This Row],[Quantity_Sold]] * Table1[[#This Row],[Unit_Price]] * (1 - (Table1[[#This Row],[Discount]] / 100))</f>
        <v>73476.627588000003</v>
      </c>
      <c r="F450" s="2">
        <f>Table1[[#This Row],[Quantity_Sold]] * ((Table1[[#This Row],[Unit_Price]] * (1 - (Table1[[#This Row],[Discount]] / 100))) - Table1[[#This Row],[Unit_Cost]])</f>
        <v>11567.447587999997</v>
      </c>
      <c r="G450" s="3">
        <v>41</v>
      </c>
      <c r="H450" t="s">
        <v>35</v>
      </c>
      <c r="I450">
        <v>1509.98</v>
      </c>
      <c r="J450" s="2">
        <v>1792.83</v>
      </c>
      <c r="K450" t="s">
        <v>30</v>
      </c>
      <c r="L450" s="4">
        <v>0.04</v>
      </c>
      <c r="M450" t="s">
        <v>18</v>
      </c>
      <c r="N450" t="s">
        <v>22</v>
      </c>
      <c r="O450" t="s">
        <v>47</v>
      </c>
    </row>
    <row r="451" spans="1:15" x14ac:dyDescent="0.25">
      <c r="A451" s="3">
        <v>1042</v>
      </c>
      <c r="B451" s="1">
        <v>44955</v>
      </c>
      <c r="C451" t="s">
        <v>38</v>
      </c>
      <c r="D451" t="s">
        <v>15</v>
      </c>
      <c r="E451" s="2">
        <f>Table1[[#This Row],[Quantity_Sold]] * Table1[[#This Row],[Unit_Price]] * (1 - (Table1[[#This Row],[Discount]] / 100))</f>
        <v>71171.356800000009</v>
      </c>
      <c r="F451" s="2">
        <f>Table1[[#This Row],[Quantity_Sold]] * ((Table1[[#This Row],[Unit_Price]] * (1 - (Table1[[#This Row],[Discount]] / 100))) - Table1[[#This Row],[Unit_Cost]])</f>
        <v>11082.856800000001</v>
      </c>
      <c r="G451" s="3">
        <v>25</v>
      </c>
      <c r="H451" t="s">
        <v>26</v>
      </c>
      <c r="I451">
        <v>2403.54</v>
      </c>
      <c r="J451" s="2">
        <v>2850.56</v>
      </c>
      <c r="K451" t="s">
        <v>30</v>
      </c>
      <c r="L451" s="4">
        <v>0.13</v>
      </c>
      <c r="M451" t="s">
        <v>27</v>
      </c>
      <c r="N451" t="s">
        <v>19</v>
      </c>
      <c r="O451" t="s">
        <v>40</v>
      </c>
    </row>
    <row r="452" spans="1:15" x14ac:dyDescent="0.25">
      <c r="A452" s="3">
        <v>1070</v>
      </c>
      <c r="B452" s="1">
        <v>45075</v>
      </c>
      <c r="C452" t="s">
        <v>33</v>
      </c>
      <c r="D452" t="s">
        <v>25</v>
      </c>
      <c r="E452" s="2">
        <f>Table1[[#This Row],[Quantity_Sold]] * Table1[[#This Row],[Unit_Price]] * (1 - (Table1[[#This Row],[Discount]] / 100))</f>
        <v>55132.364000000001</v>
      </c>
      <c r="F452" s="2">
        <f>Table1[[#This Row],[Quantity_Sold]] * ((Table1[[#This Row],[Unit_Price]] * (1 - (Table1[[#This Row],[Discount]] / 100))) - Table1[[#This Row],[Unit_Cost]])</f>
        <v>1977.3040000000046</v>
      </c>
      <c r="G452" s="3">
        <v>14</v>
      </c>
      <c r="H452" t="s">
        <v>16</v>
      </c>
      <c r="I452">
        <v>3796.79</v>
      </c>
      <c r="J452" s="2">
        <v>3947.5</v>
      </c>
      <c r="K452" t="s">
        <v>17</v>
      </c>
      <c r="L452" s="4">
        <v>0.24</v>
      </c>
      <c r="M452" t="s">
        <v>27</v>
      </c>
      <c r="N452" t="s">
        <v>19</v>
      </c>
      <c r="O452" t="s">
        <v>44</v>
      </c>
    </row>
    <row r="453" spans="1:15" x14ac:dyDescent="0.25">
      <c r="A453" s="3">
        <v>1015</v>
      </c>
      <c r="B453" s="1">
        <v>45193</v>
      </c>
      <c r="C453" t="s">
        <v>14</v>
      </c>
      <c r="D453" t="s">
        <v>34</v>
      </c>
      <c r="E453" s="2">
        <f>Table1[[#This Row],[Quantity_Sold]] * Table1[[#This Row],[Unit_Price]] * (1 - (Table1[[#This Row],[Discount]] / 100))</f>
        <v>126768.049625</v>
      </c>
      <c r="F453" s="2">
        <f>Table1[[#This Row],[Quantity_Sold]] * ((Table1[[#This Row],[Unit_Price]] * (1 - (Table1[[#This Row],[Discount]] / 100))) - Table1[[#This Row],[Unit_Cost]])</f>
        <v>5627.7996249999906</v>
      </c>
      <c r="G453" s="3">
        <v>35</v>
      </c>
      <c r="H453" t="s">
        <v>29</v>
      </c>
      <c r="I453">
        <v>3461.15</v>
      </c>
      <c r="J453" s="2">
        <v>3631.75</v>
      </c>
      <c r="K453" t="s">
        <v>17</v>
      </c>
      <c r="L453" s="4">
        <v>0.27</v>
      </c>
      <c r="M453" t="s">
        <v>31</v>
      </c>
      <c r="N453" t="s">
        <v>19</v>
      </c>
      <c r="O453" t="s">
        <v>46</v>
      </c>
    </row>
    <row r="454" spans="1:15" x14ac:dyDescent="0.25">
      <c r="A454" s="3">
        <v>1054</v>
      </c>
      <c r="B454" s="1">
        <v>45222</v>
      </c>
      <c r="C454" t="s">
        <v>24</v>
      </c>
      <c r="D454" t="s">
        <v>25</v>
      </c>
      <c r="E454" s="2">
        <f>Table1[[#This Row],[Quantity_Sold]] * Table1[[#This Row],[Unit_Price]] * (1 - (Table1[[#This Row],[Discount]] / 100))</f>
        <v>210462.87974400001</v>
      </c>
      <c r="F454" s="2">
        <f>Table1[[#This Row],[Quantity_Sold]] * ((Table1[[#This Row],[Unit_Price]] * (1 - (Table1[[#This Row],[Discount]] / 100))) - Table1[[#This Row],[Unit_Cost]])</f>
        <v>2861.9197439999843</v>
      </c>
      <c r="G454" s="3">
        <v>48</v>
      </c>
      <c r="H454" t="s">
        <v>35</v>
      </c>
      <c r="I454">
        <v>4325.0200000000004</v>
      </c>
      <c r="J454" s="2">
        <v>4391.67</v>
      </c>
      <c r="K454" t="s">
        <v>17</v>
      </c>
      <c r="L454" s="4">
        <v>0.16</v>
      </c>
      <c r="M454" t="s">
        <v>31</v>
      </c>
      <c r="N454" t="s">
        <v>22</v>
      </c>
      <c r="O454" t="s">
        <v>28</v>
      </c>
    </row>
    <row r="455" spans="1:15" x14ac:dyDescent="0.25">
      <c r="A455" s="3">
        <v>1060</v>
      </c>
      <c r="B455" s="1">
        <v>44937</v>
      </c>
      <c r="C455" t="s">
        <v>33</v>
      </c>
      <c r="D455" t="s">
        <v>21</v>
      </c>
      <c r="E455" s="2">
        <f>Table1[[#This Row],[Quantity_Sold]] * Table1[[#This Row],[Unit_Price]] * (1 - (Table1[[#This Row],[Discount]] / 100))</f>
        <v>175978.08780800001</v>
      </c>
      <c r="F455" s="2">
        <f>Table1[[#This Row],[Quantity_Sold]] * ((Table1[[#This Row],[Unit_Price]] * (1 - (Table1[[#This Row],[Discount]] / 100))) - Table1[[#This Row],[Unit_Cost]])</f>
        <v>6514.9478079999899</v>
      </c>
      <c r="G455" s="3">
        <v>34</v>
      </c>
      <c r="H455" t="s">
        <v>35</v>
      </c>
      <c r="I455">
        <v>4984.21</v>
      </c>
      <c r="J455" s="2">
        <v>5184.6400000000003</v>
      </c>
      <c r="K455" t="s">
        <v>30</v>
      </c>
      <c r="L455" s="4">
        <v>0.17</v>
      </c>
      <c r="M455" t="s">
        <v>18</v>
      </c>
      <c r="N455" t="s">
        <v>19</v>
      </c>
      <c r="O455" t="s">
        <v>37</v>
      </c>
    </row>
    <row r="456" spans="1:15" x14ac:dyDescent="0.25">
      <c r="A456" s="3">
        <v>1097</v>
      </c>
      <c r="B456" s="1">
        <v>45090</v>
      </c>
      <c r="C456" t="s">
        <v>33</v>
      </c>
      <c r="D456" t="s">
        <v>34</v>
      </c>
      <c r="E456" s="2">
        <f>Table1[[#This Row],[Quantity_Sold]] * Table1[[#This Row],[Unit_Price]] * (1 - (Table1[[#This Row],[Discount]] / 100))</f>
        <v>21868.076199999901</v>
      </c>
      <c r="F456" s="2">
        <f>Table1[[#This Row],[Quantity_Sold]] * ((Table1[[#This Row],[Unit_Price]] * (1 - (Table1[[#This Row],[Discount]] / 100))) - Table1[[#This Row],[Unit_Cost]])</f>
        <v>238.5761999999022</v>
      </c>
      <c r="G456" s="3">
        <v>10</v>
      </c>
      <c r="H456" t="s">
        <v>16</v>
      </c>
      <c r="I456">
        <v>2162.9499999999998</v>
      </c>
      <c r="J456" s="2">
        <v>2191.1899999999901</v>
      </c>
      <c r="K456" t="s">
        <v>17</v>
      </c>
      <c r="L456" s="4">
        <v>0.2</v>
      </c>
      <c r="M456" t="s">
        <v>31</v>
      </c>
      <c r="N456" t="s">
        <v>19</v>
      </c>
      <c r="O456" t="s">
        <v>36</v>
      </c>
    </row>
    <row r="457" spans="1:15" x14ac:dyDescent="0.25">
      <c r="A457" s="3">
        <v>1008</v>
      </c>
      <c r="B457" s="1">
        <v>45039</v>
      </c>
      <c r="C457" t="s">
        <v>38</v>
      </c>
      <c r="D457" t="s">
        <v>15</v>
      </c>
      <c r="E457" s="2">
        <f>Table1[[#This Row],[Quantity_Sold]] * Table1[[#This Row],[Unit_Price]] * (1 - (Table1[[#This Row],[Discount]] / 100))</f>
        <v>36986.128269999994</v>
      </c>
      <c r="F457" s="2">
        <f>Table1[[#This Row],[Quantity_Sold]] * ((Table1[[#This Row],[Unit_Price]] * (1 - (Table1[[#This Row],[Discount]] / 100))) - Table1[[#This Row],[Unit_Cost]])</f>
        <v>15979.128269999996</v>
      </c>
      <c r="G457" s="3">
        <v>35</v>
      </c>
      <c r="H457" t="s">
        <v>29</v>
      </c>
      <c r="I457">
        <v>600.20000000000005</v>
      </c>
      <c r="J457" s="2">
        <v>1059.82</v>
      </c>
      <c r="K457" t="s">
        <v>17</v>
      </c>
      <c r="L457" s="4">
        <v>0.28999999999999998</v>
      </c>
      <c r="M457" t="s">
        <v>27</v>
      </c>
      <c r="N457" t="s">
        <v>22</v>
      </c>
      <c r="O457" t="s">
        <v>40</v>
      </c>
    </row>
    <row r="458" spans="1:15" x14ac:dyDescent="0.25">
      <c r="A458" s="3">
        <v>1053</v>
      </c>
      <c r="B458" s="1">
        <v>45113</v>
      </c>
      <c r="C458" t="s">
        <v>33</v>
      </c>
      <c r="D458" t="s">
        <v>34</v>
      </c>
      <c r="E458" s="2">
        <f>Table1[[#This Row],[Quantity_Sold]] * Table1[[#This Row],[Unit_Price]] * (1 - (Table1[[#This Row],[Discount]] / 100))</f>
        <v>5933.4804759999997</v>
      </c>
      <c r="F458" s="2">
        <f>Table1[[#This Row],[Quantity_Sold]] * ((Table1[[#This Row],[Unit_Price]] * (1 - (Table1[[#This Row],[Discount]] / 100))) - Table1[[#This Row],[Unit_Cost]])</f>
        <v>3727.3204760000003</v>
      </c>
      <c r="G458" s="3">
        <v>11</v>
      </c>
      <c r="H458" t="s">
        <v>35</v>
      </c>
      <c r="I458">
        <v>200.56</v>
      </c>
      <c r="J458" s="2">
        <v>540.38</v>
      </c>
      <c r="K458" t="s">
        <v>30</v>
      </c>
      <c r="L458" s="4">
        <v>0.18</v>
      </c>
      <c r="M458" t="s">
        <v>27</v>
      </c>
      <c r="N458" t="s">
        <v>19</v>
      </c>
      <c r="O458" t="s">
        <v>36</v>
      </c>
    </row>
    <row r="459" spans="1:15" x14ac:dyDescent="0.25">
      <c r="A459" s="3">
        <v>1060</v>
      </c>
      <c r="B459" s="1">
        <v>45221</v>
      </c>
      <c r="C459" t="s">
        <v>14</v>
      </c>
      <c r="D459" t="s">
        <v>15</v>
      </c>
      <c r="E459" s="2">
        <f>Table1[[#This Row],[Quantity_Sold]] * Table1[[#This Row],[Unit_Price]] * (1 - (Table1[[#This Row],[Discount]] / 100))</f>
        <v>45501.126362999996</v>
      </c>
      <c r="F459" s="2">
        <f>Table1[[#This Row],[Quantity_Sold]] * ((Table1[[#This Row],[Unit_Price]] * (1 - (Table1[[#This Row],[Discount]] / 100))) - Table1[[#This Row],[Unit_Cost]])</f>
        <v>5372.6863629999971</v>
      </c>
      <c r="G459" s="3">
        <v>11</v>
      </c>
      <c r="H459" t="s">
        <v>16</v>
      </c>
      <c r="I459">
        <v>3648.04</v>
      </c>
      <c r="J459" s="2">
        <v>4143.51</v>
      </c>
      <c r="K459" t="s">
        <v>17</v>
      </c>
      <c r="L459" s="4">
        <v>0.17</v>
      </c>
      <c r="M459" t="s">
        <v>31</v>
      </c>
      <c r="N459" t="s">
        <v>22</v>
      </c>
      <c r="O459" t="s">
        <v>20</v>
      </c>
    </row>
    <row r="460" spans="1:15" x14ac:dyDescent="0.25">
      <c r="A460" s="3">
        <v>1005</v>
      </c>
      <c r="B460" s="1">
        <v>45158</v>
      </c>
      <c r="C460" t="s">
        <v>14</v>
      </c>
      <c r="D460" t="s">
        <v>15</v>
      </c>
      <c r="E460" s="2">
        <f>Table1[[#This Row],[Quantity_Sold]] * Table1[[#This Row],[Unit_Price]] * (1 - (Table1[[#This Row],[Discount]] / 100))</f>
        <v>101197.95</v>
      </c>
      <c r="F460" s="2">
        <f>Table1[[#This Row],[Quantity_Sold]] * ((Table1[[#This Row],[Unit_Price]] * (1 - (Table1[[#This Row],[Discount]] / 100))) - Table1[[#This Row],[Unit_Cost]])</f>
        <v>9294.1799999999985</v>
      </c>
      <c r="G460" s="3">
        <v>21</v>
      </c>
      <c r="H460" t="s">
        <v>26</v>
      </c>
      <c r="I460">
        <v>4376.37</v>
      </c>
      <c r="J460" s="2">
        <v>4818.95</v>
      </c>
      <c r="K460" t="s">
        <v>30</v>
      </c>
      <c r="L460" s="4">
        <v>0</v>
      </c>
      <c r="M460" t="s">
        <v>31</v>
      </c>
      <c r="N460" t="s">
        <v>22</v>
      </c>
      <c r="O460" t="s">
        <v>20</v>
      </c>
    </row>
    <row r="461" spans="1:15" x14ac:dyDescent="0.25">
      <c r="A461" s="3">
        <v>1068</v>
      </c>
      <c r="B461" s="1">
        <v>45153</v>
      </c>
      <c r="C461" t="s">
        <v>42</v>
      </c>
      <c r="D461" t="s">
        <v>25</v>
      </c>
      <c r="E461" s="2">
        <f>Table1[[#This Row],[Quantity_Sold]] * Table1[[#This Row],[Unit_Price]] * (1 - (Table1[[#This Row],[Discount]] / 100))</f>
        <v>29064.485939999999</v>
      </c>
      <c r="F461" s="2">
        <f>Table1[[#This Row],[Quantity_Sold]] * ((Table1[[#This Row],[Unit_Price]] * (1 - (Table1[[#This Row],[Discount]] / 100))) - Table1[[#This Row],[Unit_Cost]])</f>
        <v>5071.3559400000013</v>
      </c>
      <c r="G461" s="3">
        <v>21</v>
      </c>
      <c r="H461" t="s">
        <v>26</v>
      </c>
      <c r="I461">
        <v>1142.53</v>
      </c>
      <c r="J461" s="2">
        <v>1384.3</v>
      </c>
      <c r="K461" t="s">
        <v>17</v>
      </c>
      <c r="L461" s="4">
        <v>0.02</v>
      </c>
      <c r="M461" t="s">
        <v>31</v>
      </c>
      <c r="N461" t="s">
        <v>22</v>
      </c>
      <c r="O461" t="s">
        <v>43</v>
      </c>
    </row>
    <row r="462" spans="1:15" x14ac:dyDescent="0.25">
      <c r="A462" s="3">
        <v>1006</v>
      </c>
      <c r="B462" s="1">
        <v>45236</v>
      </c>
      <c r="C462" t="s">
        <v>14</v>
      </c>
      <c r="D462" t="s">
        <v>25</v>
      </c>
      <c r="E462" s="2">
        <f>Table1[[#This Row],[Quantity_Sold]] * Table1[[#This Row],[Unit_Price]] * (1 - (Table1[[#This Row],[Discount]] / 100))</f>
        <v>24136.238522</v>
      </c>
      <c r="F462" s="2">
        <f>Table1[[#This Row],[Quantity_Sold]] * ((Table1[[#This Row],[Unit_Price]] * (1 - (Table1[[#This Row],[Discount]] / 100))) - Table1[[#This Row],[Unit_Cost]])</f>
        <v>5781.198521999997</v>
      </c>
      <c r="G462" s="3">
        <v>22</v>
      </c>
      <c r="H462" t="s">
        <v>26</v>
      </c>
      <c r="I462">
        <v>834.32</v>
      </c>
      <c r="J462" s="2">
        <v>1098.97</v>
      </c>
      <c r="K462" t="s">
        <v>17</v>
      </c>
      <c r="L462" s="4">
        <v>0.17</v>
      </c>
      <c r="M462" t="s">
        <v>18</v>
      </c>
      <c r="N462" t="s">
        <v>19</v>
      </c>
      <c r="O462" t="s">
        <v>32</v>
      </c>
    </row>
    <row r="463" spans="1:15" x14ac:dyDescent="0.25">
      <c r="A463" s="3">
        <v>1096</v>
      </c>
      <c r="B463" s="1">
        <v>45024</v>
      </c>
      <c r="C463" t="s">
        <v>33</v>
      </c>
      <c r="D463" t="s">
        <v>25</v>
      </c>
      <c r="E463" s="2">
        <f>Table1[[#This Row],[Quantity_Sold]] * Table1[[#This Row],[Unit_Price]] * (1 - (Table1[[#This Row],[Discount]] / 100))</f>
        <v>20700.376199999999</v>
      </c>
      <c r="F463" s="2">
        <f>Table1[[#This Row],[Quantity_Sold]] * ((Table1[[#This Row],[Unit_Price]] * (1 - (Table1[[#This Row],[Discount]] / 100))) - Table1[[#This Row],[Unit_Cost]])</f>
        <v>4593.9761999999982</v>
      </c>
      <c r="G463" s="3">
        <v>45</v>
      </c>
      <c r="H463" t="s">
        <v>29</v>
      </c>
      <c r="I463">
        <v>357.92</v>
      </c>
      <c r="J463" s="2">
        <v>461.3</v>
      </c>
      <c r="K463" t="s">
        <v>17</v>
      </c>
      <c r="L463" s="4">
        <v>0.28000000000000003</v>
      </c>
      <c r="M463" t="s">
        <v>18</v>
      </c>
      <c r="N463" t="s">
        <v>19</v>
      </c>
      <c r="O463" t="s">
        <v>44</v>
      </c>
    </row>
    <row r="464" spans="1:15" x14ac:dyDescent="0.25">
      <c r="A464" s="3">
        <v>1094</v>
      </c>
      <c r="B464" s="1">
        <v>44981</v>
      </c>
      <c r="C464" t="s">
        <v>14</v>
      </c>
      <c r="D464" t="s">
        <v>21</v>
      </c>
      <c r="E464" s="2">
        <f>Table1[[#This Row],[Quantity_Sold]] * Table1[[#This Row],[Unit_Price]] * (1 - (Table1[[#This Row],[Discount]] / 100))</f>
        <v>30432.130203999997</v>
      </c>
      <c r="F464" s="2">
        <f>Table1[[#This Row],[Quantity_Sold]] * ((Table1[[#This Row],[Unit_Price]] * (1 - (Table1[[#This Row],[Discount]] / 100))) - Table1[[#This Row],[Unit_Cost]])</f>
        <v>1575.4702039999938</v>
      </c>
      <c r="G464" s="3">
        <v>7</v>
      </c>
      <c r="H464" t="s">
        <v>16</v>
      </c>
      <c r="I464">
        <v>4122.38</v>
      </c>
      <c r="J464" s="2">
        <v>4358.78</v>
      </c>
      <c r="K464" t="s">
        <v>17</v>
      </c>
      <c r="L464" s="4">
        <v>0.26</v>
      </c>
      <c r="M464" t="s">
        <v>27</v>
      </c>
      <c r="N464" t="s">
        <v>22</v>
      </c>
      <c r="O464" t="s">
        <v>23</v>
      </c>
    </row>
    <row r="465" spans="1:15" x14ac:dyDescent="0.25">
      <c r="A465" s="3">
        <v>1047</v>
      </c>
      <c r="B465" s="1">
        <v>45037</v>
      </c>
      <c r="C465" t="s">
        <v>38</v>
      </c>
      <c r="D465" t="s">
        <v>21</v>
      </c>
      <c r="E465" s="2">
        <f>Table1[[#This Row],[Quantity_Sold]] * Table1[[#This Row],[Unit_Price]] * (1 - (Table1[[#This Row],[Discount]] / 100))</f>
        <v>34644.179673999999</v>
      </c>
      <c r="F465" s="2">
        <f>Table1[[#This Row],[Quantity_Sold]] * ((Table1[[#This Row],[Unit_Price]] * (1 - (Table1[[#This Row],[Discount]] / 100))) - Table1[[#This Row],[Unit_Cost]])</f>
        <v>7591.3996740000011</v>
      </c>
      <c r="G465" s="3">
        <v>17</v>
      </c>
      <c r="H465" t="s">
        <v>16</v>
      </c>
      <c r="I465">
        <v>1591.34</v>
      </c>
      <c r="J465" s="2">
        <v>2043.82</v>
      </c>
      <c r="K465" t="s">
        <v>30</v>
      </c>
      <c r="L465" s="4">
        <v>0.28999999999999998</v>
      </c>
      <c r="M465" t="s">
        <v>18</v>
      </c>
      <c r="N465" t="s">
        <v>22</v>
      </c>
      <c r="O465" t="s">
        <v>41</v>
      </c>
    </row>
    <row r="466" spans="1:15" x14ac:dyDescent="0.25">
      <c r="A466" s="3">
        <v>1099</v>
      </c>
      <c r="B466" s="1">
        <v>45078</v>
      </c>
      <c r="C466" t="s">
        <v>42</v>
      </c>
      <c r="D466" t="s">
        <v>25</v>
      </c>
      <c r="E466" s="2">
        <f>Table1[[#This Row],[Quantity_Sold]] * Table1[[#This Row],[Unit_Price]] * (1 - (Table1[[#This Row],[Discount]] / 100))</f>
        <v>4140.0053760000001</v>
      </c>
      <c r="F466" s="2">
        <f>Table1[[#This Row],[Quantity_Sold]] * ((Table1[[#This Row],[Unit_Price]] * (1 - (Table1[[#This Row],[Discount]] / 100))) - Table1[[#This Row],[Unit_Cost]])</f>
        <v>63.205375999999887</v>
      </c>
      <c r="G466" s="3">
        <v>2</v>
      </c>
      <c r="H466" t="s">
        <v>35</v>
      </c>
      <c r="I466">
        <v>2038.4</v>
      </c>
      <c r="J466" s="2">
        <v>2073.3200000000002</v>
      </c>
      <c r="K466" t="s">
        <v>30</v>
      </c>
      <c r="L466" s="4">
        <v>0.16</v>
      </c>
      <c r="M466" t="s">
        <v>18</v>
      </c>
      <c r="N466" t="s">
        <v>22</v>
      </c>
      <c r="O466" t="s">
        <v>43</v>
      </c>
    </row>
    <row r="467" spans="1:15" x14ac:dyDescent="0.25">
      <c r="A467" s="3">
        <v>1055</v>
      </c>
      <c r="B467" s="1">
        <v>45172</v>
      </c>
      <c r="C467" t="s">
        <v>33</v>
      </c>
      <c r="D467" t="s">
        <v>21</v>
      </c>
      <c r="E467" s="2">
        <f>Table1[[#This Row],[Quantity_Sold]] * Table1[[#This Row],[Unit_Price]] * (1 - (Table1[[#This Row],[Discount]] / 100))</f>
        <v>35575.4136</v>
      </c>
      <c r="F467" s="2">
        <f>Table1[[#This Row],[Quantity_Sold]] * ((Table1[[#This Row],[Unit_Price]] * (1 - (Table1[[#This Row],[Discount]] / 100))) - Table1[[#This Row],[Unit_Cost]])</f>
        <v>5112.0935999999983</v>
      </c>
      <c r="G467" s="3">
        <v>12</v>
      </c>
      <c r="H467" t="s">
        <v>35</v>
      </c>
      <c r="I467">
        <v>2538.61</v>
      </c>
      <c r="J467" s="2">
        <v>2971.75</v>
      </c>
      <c r="K467" t="s">
        <v>17</v>
      </c>
      <c r="L467" s="4">
        <v>0.24</v>
      </c>
      <c r="M467" t="s">
        <v>18</v>
      </c>
      <c r="N467" t="s">
        <v>19</v>
      </c>
      <c r="O467" t="s">
        <v>37</v>
      </c>
    </row>
    <row r="468" spans="1:15" x14ac:dyDescent="0.25">
      <c r="A468" s="3">
        <v>1040</v>
      </c>
      <c r="B468" s="1">
        <v>44995</v>
      </c>
      <c r="C468" t="s">
        <v>42</v>
      </c>
      <c r="D468" t="s">
        <v>34</v>
      </c>
      <c r="E468" s="2">
        <f>Table1[[#This Row],[Quantity_Sold]] * Table1[[#This Row],[Unit_Price]] * (1 - (Table1[[#This Row],[Discount]] / 100))</f>
        <v>183598.55325000003</v>
      </c>
      <c r="F468" s="2">
        <f>Table1[[#This Row],[Quantity_Sold]] * ((Table1[[#This Row],[Unit_Price]] * (1 - (Table1[[#This Row],[Discount]] / 100))) - Table1[[#This Row],[Unit_Cost]])</f>
        <v>6976.3732500000315</v>
      </c>
      <c r="G468" s="3">
        <v>42</v>
      </c>
      <c r="H468" t="s">
        <v>35</v>
      </c>
      <c r="I468">
        <v>4205.29</v>
      </c>
      <c r="J468" s="2">
        <v>4382.3500000000004</v>
      </c>
      <c r="K468" t="s">
        <v>30</v>
      </c>
      <c r="L468" s="4">
        <v>0.25</v>
      </c>
      <c r="M468" t="s">
        <v>18</v>
      </c>
      <c r="N468" t="s">
        <v>22</v>
      </c>
      <c r="O468" t="s">
        <v>52</v>
      </c>
    </row>
    <row r="469" spans="1:15" x14ac:dyDescent="0.25">
      <c r="A469" s="3">
        <v>1052</v>
      </c>
      <c r="B469" s="1">
        <v>45238</v>
      </c>
      <c r="C469" t="s">
        <v>33</v>
      </c>
      <c r="D469" t="s">
        <v>34</v>
      </c>
      <c r="E469" s="2">
        <f>Table1[[#This Row],[Quantity_Sold]] * Table1[[#This Row],[Unit_Price]] * (1 - (Table1[[#This Row],[Discount]] / 100))</f>
        <v>66875.534604</v>
      </c>
      <c r="F469" s="2">
        <f>Table1[[#This Row],[Quantity_Sold]] * ((Table1[[#This Row],[Unit_Price]] * (1 - (Table1[[#This Row],[Discount]] / 100))) - Table1[[#This Row],[Unit_Cost]])</f>
        <v>7986.3746040000051</v>
      </c>
      <c r="G469" s="3">
        <v>18</v>
      </c>
      <c r="H469" t="s">
        <v>16</v>
      </c>
      <c r="I469">
        <v>3271.62</v>
      </c>
      <c r="J469" s="2">
        <v>3722.38</v>
      </c>
      <c r="K469" t="s">
        <v>17</v>
      </c>
      <c r="L469" s="4">
        <v>0.19</v>
      </c>
      <c r="M469" t="s">
        <v>27</v>
      </c>
      <c r="N469" t="s">
        <v>22</v>
      </c>
      <c r="O469" t="s">
        <v>36</v>
      </c>
    </row>
    <row r="470" spans="1:15" x14ac:dyDescent="0.25">
      <c r="A470" s="3">
        <v>1016</v>
      </c>
      <c r="B470" s="1">
        <v>45215</v>
      </c>
      <c r="C470" t="s">
        <v>38</v>
      </c>
      <c r="D470" t="s">
        <v>21</v>
      </c>
      <c r="E470" s="2">
        <f>Table1[[#This Row],[Quantity_Sold]] * Table1[[#This Row],[Unit_Price]] * (1 - (Table1[[#This Row],[Discount]] / 100))</f>
        <v>39182.378400000001</v>
      </c>
      <c r="F470" s="2">
        <f>Table1[[#This Row],[Quantity_Sold]] * ((Table1[[#This Row],[Unit_Price]] * (1 - (Table1[[#This Row],[Discount]] / 100))) - Table1[[#This Row],[Unit_Cost]])</f>
        <v>5142.1083999999983</v>
      </c>
      <c r="G470" s="3">
        <v>11</v>
      </c>
      <c r="H470" t="s">
        <v>35</v>
      </c>
      <c r="I470">
        <v>3094.57</v>
      </c>
      <c r="J470" s="2">
        <v>3565.6</v>
      </c>
      <c r="K470" t="s">
        <v>17</v>
      </c>
      <c r="L470" s="4">
        <v>0.1</v>
      </c>
      <c r="M470" t="s">
        <v>31</v>
      </c>
      <c r="N470" t="s">
        <v>22</v>
      </c>
      <c r="O470" t="s">
        <v>41</v>
      </c>
    </row>
    <row r="471" spans="1:15" x14ac:dyDescent="0.25">
      <c r="A471" s="3">
        <v>1013</v>
      </c>
      <c r="B471" s="1">
        <v>45176</v>
      </c>
      <c r="C471" t="s">
        <v>42</v>
      </c>
      <c r="D471" t="s">
        <v>21</v>
      </c>
      <c r="E471" s="2">
        <f>Table1[[#This Row],[Quantity_Sold]] * Table1[[#This Row],[Unit_Price]] * (1 - (Table1[[#This Row],[Discount]] / 100))</f>
        <v>20104.614079999999</v>
      </c>
      <c r="F471" s="2">
        <f>Table1[[#This Row],[Quantity_Sold]] * ((Table1[[#This Row],[Unit_Price]] * (1 - (Table1[[#This Row],[Discount]] / 100))) - Table1[[#This Row],[Unit_Cost]])</f>
        <v>5391.3340799999987</v>
      </c>
      <c r="G471" s="3">
        <v>16</v>
      </c>
      <c r="H471" t="s">
        <v>16</v>
      </c>
      <c r="I471">
        <v>919.58</v>
      </c>
      <c r="J471" s="2">
        <v>1258.3</v>
      </c>
      <c r="K471" t="s">
        <v>17</v>
      </c>
      <c r="L471" s="4">
        <v>0.14000000000000001</v>
      </c>
      <c r="M471" t="s">
        <v>27</v>
      </c>
      <c r="N471" t="s">
        <v>19</v>
      </c>
      <c r="O471" t="s">
        <v>51</v>
      </c>
    </row>
    <row r="472" spans="1:15" x14ac:dyDescent="0.25">
      <c r="A472" s="3">
        <v>1030</v>
      </c>
      <c r="B472" s="1">
        <v>44962</v>
      </c>
      <c r="C472" t="s">
        <v>24</v>
      </c>
      <c r="D472" t="s">
        <v>34</v>
      </c>
      <c r="E472" s="2">
        <f>Table1[[#This Row],[Quantity_Sold]] * Table1[[#This Row],[Unit_Price]] * (1 - (Table1[[#This Row],[Discount]] / 100))</f>
        <v>142994.38543600001</v>
      </c>
      <c r="F472" s="2">
        <f>Table1[[#This Row],[Quantity_Sold]] * ((Table1[[#This Row],[Unit_Price]] * (1 - (Table1[[#This Row],[Discount]] / 100))) - Table1[[#This Row],[Unit_Cost]])</f>
        <v>16070.175435999994</v>
      </c>
      <c r="G472" s="3">
        <v>49</v>
      </c>
      <c r="H472" t="s">
        <v>16</v>
      </c>
      <c r="I472">
        <v>2590.29</v>
      </c>
      <c r="J472" s="2">
        <v>2925.86</v>
      </c>
      <c r="K472" t="s">
        <v>17</v>
      </c>
      <c r="L472" s="4">
        <v>0.26</v>
      </c>
      <c r="M472" t="s">
        <v>18</v>
      </c>
      <c r="N472" t="s">
        <v>22</v>
      </c>
      <c r="O472" t="s">
        <v>50</v>
      </c>
    </row>
    <row r="473" spans="1:15" x14ac:dyDescent="0.25">
      <c r="A473" s="3">
        <v>1019</v>
      </c>
      <c r="B473" s="1">
        <v>45165</v>
      </c>
      <c r="C473" t="s">
        <v>33</v>
      </c>
      <c r="D473" t="s">
        <v>15</v>
      </c>
      <c r="E473" s="2">
        <f>Table1[[#This Row],[Quantity_Sold]] * Table1[[#This Row],[Unit_Price]] * (1 - (Table1[[#This Row],[Discount]] / 100))</f>
        <v>68751.887561999989</v>
      </c>
      <c r="F473" s="2">
        <f>Table1[[#This Row],[Quantity_Sold]] * ((Table1[[#This Row],[Unit_Price]] * (1 - (Table1[[#This Row],[Discount]] / 100))) - Table1[[#This Row],[Unit_Cost]])</f>
        <v>4111.367561999994</v>
      </c>
      <c r="G473" s="3">
        <v>18</v>
      </c>
      <c r="H473" t="s">
        <v>26</v>
      </c>
      <c r="I473">
        <v>3591.14</v>
      </c>
      <c r="J473" s="2">
        <v>3822.99</v>
      </c>
      <c r="K473" t="s">
        <v>17</v>
      </c>
      <c r="L473" s="4">
        <v>0.09</v>
      </c>
      <c r="M473" t="s">
        <v>31</v>
      </c>
      <c r="N473" t="s">
        <v>19</v>
      </c>
      <c r="O473" t="s">
        <v>53</v>
      </c>
    </row>
    <row r="474" spans="1:15" x14ac:dyDescent="0.25">
      <c r="A474" s="3">
        <v>1017</v>
      </c>
      <c r="B474" s="1">
        <v>45074</v>
      </c>
      <c r="C474" t="s">
        <v>24</v>
      </c>
      <c r="D474" t="s">
        <v>34</v>
      </c>
      <c r="E474" s="2">
        <f>Table1[[#This Row],[Quantity_Sold]] * Table1[[#This Row],[Unit_Price]] * (1 - (Table1[[#This Row],[Discount]] / 100))</f>
        <v>184528.61909999998</v>
      </c>
      <c r="F474" s="2">
        <f>Table1[[#This Row],[Quantity_Sold]] * ((Table1[[#This Row],[Unit_Price]] * (1 - (Table1[[#This Row],[Discount]] / 100))) - Table1[[#This Row],[Unit_Cost]])</f>
        <v>14161.219099999984</v>
      </c>
      <c r="G474" s="3">
        <v>35</v>
      </c>
      <c r="H474" t="s">
        <v>35</v>
      </c>
      <c r="I474">
        <v>4867.6400000000003</v>
      </c>
      <c r="J474" s="2">
        <v>5287.05</v>
      </c>
      <c r="K474" t="s">
        <v>17</v>
      </c>
      <c r="L474" s="4">
        <v>0.28000000000000003</v>
      </c>
      <c r="M474" t="s">
        <v>31</v>
      </c>
      <c r="N474" t="s">
        <v>19</v>
      </c>
      <c r="O474" t="s">
        <v>50</v>
      </c>
    </row>
    <row r="475" spans="1:15" x14ac:dyDescent="0.25">
      <c r="A475" s="3">
        <v>1063</v>
      </c>
      <c r="B475" s="1">
        <v>45153</v>
      </c>
      <c r="C475" t="s">
        <v>42</v>
      </c>
      <c r="D475" t="s">
        <v>34</v>
      </c>
      <c r="E475" s="2">
        <f>Table1[[#This Row],[Quantity_Sold]] * Table1[[#This Row],[Unit_Price]] * (1 - (Table1[[#This Row],[Discount]] / 100))</f>
        <v>39704.087670000001</v>
      </c>
      <c r="F475" s="2">
        <f>Table1[[#This Row],[Quantity_Sold]] * ((Table1[[#This Row],[Unit_Price]] * (1 - (Table1[[#This Row],[Discount]] / 100))) - Table1[[#This Row],[Unit_Cost]])</f>
        <v>12483.127669999998</v>
      </c>
      <c r="G475" s="3">
        <v>26</v>
      </c>
      <c r="H475" t="s">
        <v>26</v>
      </c>
      <c r="I475">
        <v>1046.96</v>
      </c>
      <c r="J475" s="2">
        <v>1528.15</v>
      </c>
      <c r="K475" t="s">
        <v>30</v>
      </c>
      <c r="L475" s="4">
        <v>7.0000000000000007E-2</v>
      </c>
      <c r="M475" t="s">
        <v>31</v>
      </c>
      <c r="N475" t="s">
        <v>22</v>
      </c>
      <c r="O475" t="s">
        <v>52</v>
      </c>
    </row>
    <row r="476" spans="1:15" x14ac:dyDescent="0.25">
      <c r="A476" s="3">
        <v>1019</v>
      </c>
      <c r="B476" s="1">
        <v>45170</v>
      </c>
      <c r="C476" t="s">
        <v>24</v>
      </c>
      <c r="D476" t="s">
        <v>21</v>
      </c>
      <c r="E476" s="2">
        <f>Table1[[#This Row],[Quantity_Sold]] * Table1[[#This Row],[Unit_Price]] * (1 - (Table1[[#This Row],[Discount]] / 100))</f>
        <v>7775.3365439999998</v>
      </c>
      <c r="F476" s="2">
        <f>Table1[[#This Row],[Quantity_Sold]] * ((Table1[[#This Row],[Unit_Price]] * (1 - (Table1[[#This Row],[Discount]] / 100))) - Table1[[#This Row],[Unit_Cost]])</f>
        <v>6219.4965439999996</v>
      </c>
      <c r="G476" s="3">
        <v>16</v>
      </c>
      <c r="H476" t="s">
        <v>29</v>
      </c>
      <c r="I476">
        <v>97.24</v>
      </c>
      <c r="J476" s="2">
        <v>487.03</v>
      </c>
      <c r="K476" t="s">
        <v>30</v>
      </c>
      <c r="L476" s="4">
        <v>0.22</v>
      </c>
      <c r="M476" t="s">
        <v>27</v>
      </c>
      <c r="N476" t="s">
        <v>22</v>
      </c>
      <c r="O476" t="s">
        <v>47</v>
      </c>
    </row>
    <row r="477" spans="1:15" x14ac:dyDescent="0.25">
      <c r="A477" s="3">
        <v>1092</v>
      </c>
      <c r="B477" s="1">
        <v>45263</v>
      </c>
      <c r="C477" t="s">
        <v>24</v>
      </c>
      <c r="D477" t="s">
        <v>34</v>
      </c>
      <c r="E477" s="2">
        <f>Table1[[#This Row],[Quantity_Sold]] * Table1[[#This Row],[Unit_Price]] * (1 - (Table1[[#This Row],[Discount]] / 100))</f>
        <v>4416.5326140000006</v>
      </c>
      <c r="F477" s="2">
        <f>Table1[[#This Row],[Quantity_Sold]] * ((Table1[[#This Row],[Unit_Price]] * (1 - (Table1[[#This Row],[Discount]] / 100))) - Table1[[#This Row],[Unit_Cost]])</f>
        <v>1880.0926139999997</v>
      </c>
      <c r="G477" s="3">
        <v>6</v>
      </c>
      <c r="H477" t="s">
        <v>29</v>
      </c>
      <c r="I477">
        <v>422.74</v>
      </c>
      <c r="J477" s="2">
        <v>737.49</v>
      </c>
      <c r="K477" t="s">
        <v>17</v>
      </c>
      <c r="L477" s="4">
        <v>0.19</v>
      </c>
      <c r="M477" t="s">
        <v>31</v>
      </c>
      <c r="N477" t="s">
        <v>22</v>
      </c>
      <c r="O477" t="s">
        <v>50</v>
      </c>
    </row>
    <row r="478" spans="1:15" x14ac:dyDescent="0.25">
      <c r="A478" s="3">
        <v>1058</v>
      </c>
      <c r="B478" s="1">
        <v>45291</v>
      </c>
      <c r="C478" t="s">
        <v>42</v>
      </c>
      <c r="D478" t="s">
        <v>21</v>
      </c>
      <c r="E478" s="2">
        <f>Table1[[#This Row],[Quantity_Sold]] * Table1[[#This Row],[Unit_Price]] * (1 - (Table1[[#This Row],[Discount]] / 100))</f>
        <v>97368.516960000008</v>
      </c>
      <c r="F478" s="2">
        <f>Table1[[#This Row],[Quantity_Sold]] * ((Table1[[#This Row],[Unit_Price]] * (1 - (Table1[[#This Row],[Discount]] / 100))) - Table1[[#This Row],[Unit_Cost]])</f>
        <v>13307.836960000008</v>
      </c>
      <c r="G478" s="3">
        <v>44</v>
      </c>
      <c r="H478" t="s">
        <v>29</v>
      </c>
      <c r="I478">
        <v>1910.47</v>
      </c>
      <c r="J478" s="2">
        <v>2217.8000000000002</v>
      </c>
      <c r="K478" t="s">
        <v>30</v>
      </c>
      <c r="L478" s="4">
        <v>0.22</v>
      </c>
      <c r="M478" t="s">
        <v>27</v>
      </c>
      <c r="N478" t="s">
        <v>19</v>
      </c>
      <c r="O478" t="s">
        <v>51</v>
      </c>
    </row>
    <row r="479" spans="1:15" x14ac:dyDescent="0.25">
      <c r="A479" s="3">
        <v>1055</v>
      </c>
      <c r="B479" s="1">
        <v>45127</v>
      </c>
      <c r="C479" t="s">
        <v>38</v>
      </c>
      <c r="D479" t="s">
        <v>21</v>
      </c>
      <c r="E479" s="2">
        <f>Table1[[#This Row],[Quantity_Sold]] * Table1[[#This Row],[Unit_Price]] * (1 - (Table1[[#This Row],[Discount]] / 100))</f>
        <v>194877.74915399999</v>
      </c>
      <c r="F479" s="2">
        <f>Table1[[#This Row],[Quantity_Sold]] * ((Table1[[#This Row],[Unit_Price]] * (1 - (Table1[[#This Row],[Discount]] / 100))) - Table1[[#This Row],[Unit_Cost]])</f>
        <v>18074.649153999981</v>
      </c>
      <c r="G479" s="3">
        <v>43</v>
      </c>
      <c r="H479" t="s">
        <v>16</v>
      </c>
      <c r="I479">
        <v>4111.7</v>
      </c>
      <c r="J479" s="2">
        <v>4537.9399999999996</v>
      </c>
      <c r="K479" t="s">
        <v>17</v>
      </c>
      <c r="L479" s="4">
        <v>0.13</v>
      </c>
      <c r="M479" t="s">
        <v>27</v>
      </c>
      <c r="N479" t="s">
        <v>19</v>
      </c>
      <c r="O479" t="s">
        <v>41</v>
      </c>
    </row>
    <row r="480" spans="1:15" x14ac:dyDescent="0.25">
      <c r="A480" s="3">
        <v>1090</v>
      </c>
      <c r="B480" s="1">
        <v>45080</v>
      </c>
      <c r="C480" t="s">
        <v>24</v>
      </c>
      <c r="D480" t="s">
        <v>25</v>
      </c>
      <c r="E480" s="2">
        <f>Table1[[#This Row],[Quantity_Sold]] * Table1[[#This Row],[Unit_Price]] * (1 - (Table1[[#This Row],[Discount]] / 100))</f>
        <v>16897.932935999954</v>
      </c>
      <c r="F480" s="2">
        <f>Table1[[#This Row],[Quantity_Sold]] * ((Table1[[#This Row],[Unit_Price]] * (1 - (Table1[[#This Row],[Discount]] / 100))) - Table1[[#This Row],[Unit_Cost]])</f>
        <v>12886.482935999951</v>
      </c>
      <c r="G480" s="3">
        <v>47</v>
      </c>
      <c r="H480" t="s">
        <v>16</v>
      </c>
      <c r="I480">
        <v>85.35</v>
      </c>
      <c r="J480" s="2">
        <v>360.539999999999</v>
      </c>
      <c r="K480" t="s">
        <v>30</v>
      </c>
      <c r="L480" s="4">
        <v>0.28000000000000003</v>
      </c>
      <c r="M480" t="s">
        <v>18</v>
      </c>
      <c r="N480" t="s">
        <v>19</v>
      </c>
      <c r="O480" t="s">
        <v>28</v>
      </c>
    </row>
    <row r="481" spans="1:15" x14ac:dyDescent="0.25">
      <c r="A481" s="3">
        <v>1090</v>
      </c>
      <c r="B481" s="1">
        <v>44999</v>
      </c>
      <c r="C481" t="s">
        <v>24</v>
      </c>
      <c r="D481" t="s">
        <v>34</v>
      </c>
      <c r="E481" s="2">
        <f>Table1[[#This Row],[Quantity_Sold]] * Table1[[#This Row],[Unit_Price]] * (1 - (Table1[[#This Row],[Discount]] / 100))</f>
        <v>127348.94639699999</v>
      </c>
      <c r="F481" s="2">
        <f>Table1[[#This Row],[Quantity_Sold]] * ((Table1[[#This Row],[Unit_Price]] * (1 - (Table1[[#This Row],[Discount]] / 100))) - Table1[[#This Row],[Unit_Cost]])</f>
        <v>18740.406396999999</v>
      </c>
      <c r="G481" s="3">
        <v>47</v>
      </c>
      <c r="H481" t="s">
        <v>16</v>
      </c>
      <c r="I481">
        <v>2310.8200000000002</v>
      </c>
      <c r="J481" s="2">
        <v>2714.71</v>
      </c>
      <c r="K481" t="s">
        <v>30</v>
      </c>
      <c r="L481" s="4">
        <v>0.19</v>
      </c>
      <c r="M481" t="s">
        <v>18</v>
      </c>
      <c r="N481" t="s">
        <v>22</v>
      </c>
      <c r="O481" t="s">
        <v>50</v>
      </c>
    </row>
    <row r="482" spans="1:15" x14ac:dyDescent="0.25">
      <c r="A482" s="3">
        <v>1062</v>
      </c>
      <c r="B482" s="1">
        <v>45127</v>
      </c>
      <c r="C482" t="s">
        <v>38</v>
      </c>
      <c r="D482" t="s">
        <v>15</v>
      </c>
      <c r="E482" s="2">
        <f>Table1[[#This Row],[Quantity_Sold]] * Table1[[#This Row],[Unit_Price]] * (1 - (Table1[[#This Row],[Discount]] / 100))</f>
        <v>92990.153471999991</v>
      </c>
      <c r="F482" s="2">
        <f>Table1[[#This Row],[Quantity_Sold]] * ((Table1[[#This Row],[Unit_Price]] * (1 - (Table1[[#This Row],[Discount]] / 100))) - Table1[[#This Row],[Unit_Cost]])</f>
        <v>12365.033471999996</v>
      </c>
      <c r="G482" s="3">
        <v>48</v>
      </c>
      <c r="H482" t="s">
        <v>35</v>
      </c>
      <c r="I482">
        <v>1679.69</v>
      </c>
      <c r="J482" s="2">
        <v>1939.04</v>
      </c>
      <c r="K482" t="s">
        <v>30</v>
      </c>
      <c r="L482" s="4">
        <v>0.09</v>
      </c>
      <c r="M482" t="s">
        <v>31</v>
      </c>
      <c r="N482" t="s">
        <v>19</v>
      </c>
      <c r="O482" t="s">
        <v>40</v>
      </c>
    </row>
    <row r="483" spans="1:15" x14ac:dyDescent="0.25">
      <c r="A483" s="3">
        <v>1023</v>
      </c>
      <c r="B483" s="1">
        <v>45222</v>
      </c>
      <c r="C483" t="s">
        <v>24</v>
      </c>
      <c r="D483" t="s">
        <v>25</v>
      </c>
      <c r="E483" s="2">
        <f>Table1[[#This Row],[Quantity_Sold]] * Table1[[#This Row],[Unit_Price]] * (1 - (Table1[[#This Row],[Discount]] / 100))</f>
        <v>14687.999675999999</v>
      </c>
      <c r="F483" s="2">
        <f>Table1[[#This Row],[Quantity_Sold]] * ((Table1[[#This Row],[Unit_Price]] * (1 - (Table1[[#This Row],[Discount]] / 100))) - Table1[[#This Row],[Unit_Cost]])</f>
        <v>1677.2396760000001</v>
      </c>
      <c r="G483" s="3">
        <v>42</v>
      </c>
      <c r="H483" t="s">
        <v>26</v>
      </c>
      <c r="I483">
        <v>309.77999999999997</v>
      </c>
      <c r="J483" s="2">
        <v>350.38</v>
      </c>
      <c r="K483" t="s">
        <v>17</v>
      </c>
      <c r="L483" s="4">
        <v>0.19</v>
      </c>
      <c r="M483" t="s">
        <v>31</v>
      </c>
      <c r="N483" t="s">
        <v>22</v>
      </c>
      <c r="O483" t="s">
        <v>28</v>
      </c>
    </row>
    <row r="484" spans="1:15" x14ac:dyDescent="0.25">
      <c r="A484" s="3">
        <v>1009</v>
      </c>
      <c r="B484" s="1">
        <v>44943</v>
      </c>
      <c r="C484" t="s">
        <v>24</v>
      </c>
      <c r="D484" t="s">
        <v>21</v>
      </c>
      <c r="E484" s="2">
        <f>Table1[[#This Row],[Quantity_Sold]] * Table1[[#This Row],[Unit_Price]] * (1 - (Table1[[#This Row],[Discount]] / 100))</f>
        <v>29694.850560000003</v>
      </c>
      <c r="F484" s="2">
        <f>Table1[[#This Row],[Quantity_Sold]] * ((Table1[[#This Row],[Unit_Price]] * (1 - (Table1[[#This Row],[Discount]] / 100))) - Table1[[#This Row],[Unit_Cost]])</f>
        <v>2350.8105600000017</v>
      </c>
      <c r="G484" s="3">
        <v>12</v>
      </c>
      <c r="H484" t="s">
        <v>16</v>
      </c>
      <c r="I484">
        <v>2278.67</v>
      </c>
      <c r="J484" s="2">
        <v>2476.8000000000002</v>
      </c>
      <c r="K484" t="s">
        <v>30</v>
      </c>
      <c r="L484" s="4">
        <v>0.09</v>
      </c>
      <c r="M484" t="s">
        <v>18</v>
      </c>
      <c r="N484" t="s">
        <v>22</v>
      </c>
      <c r="O484" t="s">
        <v>47</v>
      </c>
    </row>
    <row r="485" spans="1:15" x14ac:dyDescent="0.25">
      <c r="A485" s="3">
        <v>1012</v>
      </c>
      <c r="B485" s="1">
        <v>45055</v>
      </c>
      <c r="C485" t="s">
        <v>24</v>
      </c>
      <c r="D485" t="s">
        <v>21</v>
      </c>
      <c r="E485" s="2">
        <f>Table1[[#This Row],[Quantity_Sold]] * Table1[[#This Row],[Unit_Price]] * (1 - (Table1[[#This Row],[Discount]] / 100))</f>
        <v>19986.266157000002</v>
      </c>
      <c r="F485" s="2">
        <f>Table1[[#This Row],[Quantity_Sold]] * ((Table1[[#This Row],[Unit_Price]] * (1 - (Table1[[#This Row],[Discount]] / 100))) - Table1[[#This Row],[Unit_Cost]])</f>
        <v>2943.1361569999981</v>
      </c>
      <c r="G485" s="3">
        <v>13</v>
      </c>
      <c r="H485" t="s">
        <v>26</v>
      </c>
      <c r="I485">
        <v>1311.01</v>
      </c>
      <c r="J485" s="2">
        <v>1538.79</v>
      </c>
      <c r="K485" t="s">
        <v>17</v>
      </c>
      <c r="L485" s="4">
        <v>0.09</v>
      </c>
      <c r="M485" t="s">
        <v>27</v>
      </c>
      <c r="N485" t="s">
        <v>22</v>
      </c>
      <c r="O485" t="s">
        <v>47</v>
      </c>
    </row>
    <row r="486" spans="1:15" x14ac:dyDescent="0.25">
      <c r="A486" s="3">
        <v>1001</v>
      </c>
      <c r="B486" s="1">
        <v>45143</v>
      </c>
      <c r="C486" t="s">
        <v>14</v>
      </c>
      <c r="D486" t="s">
        <v>15</v>
      </c>
      <c r="E486" s="2">
        <f>Table1[[#This Row],[Quantity_Sold]] * Table1[[#This Row],[Unit_Price]] * (1 - (Table1[[#This Row],[Discount]] / 100))</f>
        <v>7475.8981440000007</v>
      </c>
      <c r="F486" s="2">
        <f>Table1[[#This Row],[Quantity_Sold]] * ((Table1[[#This Row],[Unit_Price]] * (1 - (Table1[[#This Row],[Discount]] / 100))) - Table1[[#This Row],[Unit_Cost]])</f>
        <v>308.57814400000098</v>
      </c>
      <c r="G486" s="3">
        <v>4</v>
      </c>
      <c r="H486" t="s">
        <v>26</v>
      </c>
      <c r="I486">
        <v>1791.83</v>
      </c>
      <c r="J486" s="2">
        <v>1871.22</v>
      </c>
      <c r="K486" t="s">
        <v>17</v>
      </c>
      <c r="L486" s="4">
        <v>0.12</v>
      </c>
      <c r="M486" t="s">
        <v>27</v>
      </c>
      <c r="N486" t="s">
        <v>19</v>
      </c>
      <c r="O486" t="s">
        <v>20</v>
      </c>
    </row>
    <row r="487" spans="1:15" x14ac:dyDescent="0.25">
      <c r="A487" s="3">
        <v>1058</v>
      </c>
      <c r="B487" s="1">
        <v>44987</v>
      </c>
      <c r="C487" t="s">
        <v>38</v>
      </c>
      <c r="D487" t="s">
        <v>21</v>
      </c>
      <c r="E487" s="2">
        <f>Table1[[#This Row],[Quantity_Sold]] * Table1[[#This Row],[Unit_Price]] * (1 - (Table1[[#This Row],[Discount]] / 100))</f>
        <v>140152.43377199999</v>
      </c>
      <c r="F487" s="2">
        <f>Table1[[#This Row],[Quantity_Sold]] * ((Table1[[#This Row],[Unit_Price]] * (1 - (Table1[[#This Row],[Discount]] / 100))) - Table1[[#This Row],[Unit_Cost]])</f>
        <v>1983.23377199998</v>
      </c>
      <c r="G487" s="3">
        <v>39</v>
      </c>
      <c r="H487" t="s">
        <v>26</v>
      </c>
      <c r="I487">
        <v>3542.8</v>
      </c>
      <c r="J487" s="2">
        <v>3603.02</v>
      </c>
      <c r="K487" t="s">
        <v>17</v>
      </c>
      <c r="L487" s="4">
        <v>0.26</v>
      </c>
      <c r="M487" t="s">
        <v>18</v>
      </c>
      <c r="N487" t="s">
        <v>19</v>
      </c>
      <c r="O487" t="s">
        <v>41</v>
      </c>
    </row>
    <row r="488" spans="1:15" x14ac:dyDescent="0.25">
      <c r="A488" s="3">
        <v>1001</v>
      </c>
      <c r="B488" s="1">
        <v>45030</v>
      </c>
      <c r="C488" t="s">
        <v>24</v>
      </c>
      <c r="D488" t="s">
        <v>34</v>
      </c>
      <c r="E488" s="2">
        <f>Table1[[#This Row],[Quantity_Sold]] * Table1[[#This Row],[Unit_Price]] * (1 - (Table1[[#This Row],[Discount]] / 100))</f>
        <v>5799.4078200000004</v>
      </c>
      <c r="F488" s="2">
        <f>Table1[[#This Row],[Quantity_Sold]] * ((Table1[[#This Row],[Unit_Price]] * (1 - (Table1[[#This Row],[Discount]] / 100))) - Table1[[#This Row],[Unit_Cost]])</f>
        <v>536.04782000000068</v>
      </c>
      <c r="G488" s="3">
        <v>2</v>
      </c>
      <c r="H488" t="s">
        <v>35</v>
      </c>
      <c r="I488">
        <v>2631.68</v>
      </c>
      <c r="J488" s="2">
        <v>2904.06</v>
      </c>
      <c r="K488" t="s">
        <v>30</v>
      </c>
      <c r="L488" s="4">
        <v>0.15</v>
      </c>
      <c r="M488" t="s">
        <v>27</v>
      </c>
      <c r="N488" t="s">
        <v>19</v>
      </c>
      <c r="O488" t="s">
        <v>50</v>
      </c>
    </row>
    <row r="489" spans="1:15" x14ac:dyDescent="0.25">
      <c r="A489" s="3">
        <v>1034</v>
      </c>
      <c r="B489" s="1">
        <v>44968</v>
      </c>
      <c r="C489" t="s">
        <v>38</v>
      </c>
      <c r="D489" t="s">
        <v>25</v>
      </c>
      <c r="E489" s="2">
        <f>Table1[[#This Row],[Quantity_Sold]] * Table1[[#This Row],[Unit_Price]] * (1 - (Table1[[#This Row],[Discount]] / 100))</f>
        <v>18649.346560000002</v>
      </c>
      <c r="F489" s="2">
        <f>Table1[[#This Row],[Quantity_Sold]] * ((Table1[[#This Row],[Unit_Price]] * (1 - (Table1[[#This Row],[Discount]] / 100))) - Table1[[#This Row],[Unit_Cost]])</f>
        <v>1307.3465599999997</v>
      </c>
      <c r="G489" s="3">
        <v>26</v>
      </c>
      <c r="H489" t="s">
        <v>35</v>
      </c>
      <c r="I489">
        <v>667</v>
      </c>
      <c r="J489" s="2">
        <v>718.72</v>
      </c>
      <c r="K489" t="s">
        <v>30</v>
      </c>
      <c r="L489" s="4">
        <v>0.2</v>
      </c>
      <c r="M489" t="s">
        <v>18</v>
      </c>
      <c r="N489" t="s">
        <v>22</v>
      </c>
      <c r="O489" t="s">
        <v>39</v>
      </c>
    </row>
    <row r="490" spans="1:15" x14ac:dyDescent="0.25">
      <c r="A490" s="3">
        <v>1096</v>
      </c>
      <c r="B490" s="1">
        <v>44951</v>
      </c>
      <c r="C490" t="s">
        <v>33</v>
      </c>
      <c r="D490" t="s">
        <v>21</v>
      </c>
      <c r="E490" s="2">
        <f>Table1[[#This Row],[Quantity_Sold]] * Table1[[#This Row],[Unit_Price]] * (1 - (Table1[[#This Row],[Discount]] / 100))</f>
        <v>133959.93494399998</v>
      </c>
      <c r="F490" s="2">
        <f>Table1[[#This Row],[Quantity_Sold]] * ((Table1[[#This Row],[Unit_Price]] * (1 - (Table1[[#This Row],[Discount]] / 100))) - Table1[[#This Row],[Unit_Cost]])</f>
        <v>4116.9349440000024</v>
      </c>
      <c r="G490" s="3">
        <v>27</v>
      </c>
      <c r="H490" t="s">
        <v>29</v>
      </c>
      <c r="I490">
        <v>4809</v>
      </c>
      <c r="J490" s="2">
        <v>4967.4399999999996</v>
      </c>
      <c r="K490" t="s">
        <v>30</v>
      </c>
      <c r="L490" s="4">
        <v>0.12</v>
      </c>
      <c r="M490" t="s">
        <v>18</v>
      </c>
      <c r="N490" t="s">
        <v>19</v>
      </c>
      <c r="O490" t="s">
        <v>37</v>
      </c>
    </row>
    <row r="491" spans="1:15" x14ac:dyDescent="0.25">
      <c r="A491" s="3">
        <v>1048</v>
      </c>
      <c r="B491" s="1">
        <v>44965</v>
      </c>
      <c r="C491" t="s">
        <v>33</v>
      </c>
      <c r="D491" t="s">
        <v>21</v>
      </c>
      <c r="E491" s="2">
        <f>Table1[[#This Row],[Quantity_Sold]] * Table1[[#This Row],[Unit_Price]] * (1 - (Table1[[#This Row],[Discount]] / 100))</f>
        <v>96383.301624</v>
      </c>
      <c r="F491" s="2">
        <f>Table1[[#This Row],[Quantity_Sold]] * ((Table1[[#This Row],[Unit_Price]] * (1 - (Table1[[#This Row],[Discount]] / 100))) - Table1[[#This Row],[Unit_Cost]])</f>
        <v>10043.781623999999</v>
      </c>
      <c r="G491" s="3">
        <v>27</v>
      </c>
      <c r="H491" t="s">
        <v>29</v>
      </c>
      <c r="I491">
        <v>3197.76</v>
      </c>
      <c r="J491" s="2">
        <v>3572.61</v>
      </c>
      <c r="K491" t="s">
        <v>17</v>
      </c>
      <c r="L491" s="4">
        <v>0.08</v>
      </c>
      <c r="M491" t="s">
        <v>31</v>
      </c>
      <c r="N491" t="s">
        <v>19</v>
      </c>
      <c r="O491" t="s">
        <v>37</v>
      </c>
    </row>
    <row r="492" spans="1:15" x14ac:dyDescent="0.25">
      <c r="A492" s="3">
        <v>1089</v>
      </c>
      <c r="B492" s="1">
        <v>45217</v>
      </c>
      <c r="C492" t="s">
        <v>24</v>
      </c>
      <c r="D492" t="s">
        <v>15</v>
      </c>
      <c r="E492" s="2">
        <f>Table1[[#This Row],[Quantity_Sold]] * Table1[[#This Row],[Unit_Price]] * (1 - (Table1[[#This Row],[Discount]] / 100))</f>
        <v>64666.222529999992</v>
      </c>
      <c r="F492" s="2">
        <f>Table1[[#This Row],[Quantity_Sold]] * ((Table1[[#This Row],[Unit_Price]] * (1 - (Table1[[#This Row],[Discount]] / 100))) - Table1[[#This Row],[Unit_Cost]])</f>
        <v>7050.4725299999973</v>
      </c>
      <c r="G492" s="3">
        <v>15</v>
      </c>
      <c r="H492" t="s">
        <v>26</v>
      </c>
      <c r="I492">
        <v>3841.05</v>
      </c>
      <c r="J492" s="2">
        <v>4323.62</v>
      </c>
      <c r="K492" t="s">
        <v>17</v>
      </c>
      <c r="L492" s="4">
        <v>0.28999999999999998</v>
      </c>
      <c r="M492" t="s">
        <v>31</v>
      </c>
      <c r="N492" t="s">
        <v>22</v>
      </c>
      <c r="O492" t="s">
        <v>45</v>
      </c>
    </row>
    <row r="493" spans="1:15" x14ac:dyDescent="0.25">
      <c r="A493" s="3">
        <v>1001</v>
      </c>
      <c r="B493" s="1">
        <v>45057</v>
      </c>
      <c r="C493" t="s">
        <v>38</v>
      </c>
      <c r="D493" t="s">
        <v>34</v>
      </c>
      <c r="E493" s="2">
        <f>Table1[[#This Row],[Quantity_Sold]] * Table1[[#This Row],[Unit_Price]] * (1 - (Table1[[#This Row],[Discount]] / 100))</f>
        <v>6419.3842720000002</v>
      </c>
      <c r="F493" s="2">
        <f>Table1[[#This Row],[Quantity_Sold]] * ((Table1[[#This Row],[Unit_Price]] * (1 - (Table1[[#This Row],[Discount]] / 100))) - Table1[[#This Row],[Unit_Cost]])</f>
        <v>2882.5042720000001</v>
      </c>
      <c r="G493" s="3">
        <v>8</v>
      </c>
      <c r="H493" t="s">
        <v>29</v>
      </c>
      <c r="I493">
        <v>442.11</v>
      </c>
      <c r="J493" s="2">
        <v>803.87</v>
      </c>
      <c r="K493" t="s">
        <v>30</v>
      </c>
      <c r="L493" s="4">
        <v>0.18</v>
      </c>
      <c r="M493" t="s">
        <v>18</v>
      </c>
      <c r="N493" t="s">
        <v>22</v>
      </c>
      <c r="O493" t="s">
        <v>48</v>
      </c>
    </row>
    <row r="494" spans="1:15" x14ac:dyDescent="0.25">
      <c r="A494" s="3">
        <v>1016</v>
      </c>
      <c r="B494" s="1">
        <v>45155</v>
      </c>
      <c r="C494" t="s">
        <v>38</v>
      </c>
      <c r="D494" t="s">
        <v>21</v>
      </c>
      <c r="E494" s="2">
        <f>Table1[[#This Row],[Quantity_Sold]] * Table1[[#This Row],[Unit_Price]] * (1 - (Table1[[#This Row],[Discount]] / 100))</f>
        <v>5440.0351319999927</v>
      </c>
      <c r="F494" s="2">
        <f>Table1[[#This Row],[Quantity_Sold]] * ((Table1[[#This Row],[Unit_Price]] * (1 - (Table1[[#This Row],[Discount]] / 100))) - Table1[[#This Row],[Unit_Cost]])</f>
        <v>3459.4551319999928</v>
      </c>
      <c r="G494" s="3">
        <v>7</v>
      </c>
      <c r="H494" t="s">
        <v>26</v>
      </c>
      <c r="I494">
        <v>282.94</v>
      </c>
      <c r="J494" s="2">
        <v>779.32999999999902</v>
      </c>
      <c r="K494" t="s">
        <v>17</v>
      </c>
      <c r="L494" s="4">
        <v>0.28000000000000003</v>
      </c>
      <c r="M494" t="s">
        <v>31</v>
      </c>
      <c r="N494" t="s">
        <v>19</v>
      </c>
      <c r="O494" t="s">
        <v>41</v>
      </c>
    </row>
    <row r="495" spans="1:15" x14ac:dyDescent="0.25">
      <c r="A495" s="3">
        <v>1061</v>
      </c>
      <c r="B495" s="1">
        <v>45034</v>
      </c>
      <c r="C495" t="s">
        <v>38</v>
      </c>
      <c r="D495" t="s">
        <v>15</v>
      </c>
      <c r="E495" s="2">
        <f>Table1[[#This Row],[Quantity_Sold]] * Table1[[#This Row],[Unit_Price]] * (1 - (Table1[[#This Row],[Discount]] / 100))</f>
        <v>23413.563427999998</v>
      </c>
      <c r="F495" s="2">
        <f>Table1[[#This Row],[Quantity_Sold]] * ((Table1[[#This Row],[Unit_Price]] * (1 - (Table1[[#This Row],[Discount]] / 100))) - Table1[[#This Row],[Unit_Cost]])</f>
        <v>16538.873427999995</v>
      </c>
      <c r="G495" s="3">
        <v>47</v>
      </c>
      <c r="H495" t="s">
        <v>35</v>
      </c>
      <c r="I495">
        <v>146.27000000000001</v>
      </c>
      <c r="J495" s="2">
        <v>498.46</v>
      </c>
      <c r="K495" t="s">
        <v>30</v>
      </c>
      <c r="L495" s="4">
        <v>0.06</v>
      </c>
      <c r="M495" t="s">
        <v>18</v>
      </c>
      <c r="N495" t="s">
        <v>22</v>
      </c>
      <c r="O495" t="s">
        <v>40</v>
      </c>
    </row>
    <row r="496" spans="1:15" x14ac:dyDescent="0.25">
      <c r="A496" s="3">
        <v>1064</v>
      </c>
      <c r="B496" s="1">
        <v>45098</v>
      </c>
      <c r="C496" t="s">
        <v>14</v>
      </c>
      <c r="D496" t="s">
        <v>21</v>
      </c>
      <c r="E496" s="2">
        <f>Table1[[#This Row],[Quantity_Sold]] * Table1[[#This Row],[Unit_Price]] * (1 - (Table1[[#This Row],[Discount]] / 100))</f>
        <v>52349.591784000004</v>
      </c>
      <c r="F496" s="2">
        <f>Table1[[#This Row],[Quantity_Sold]] * ((Table1[[#This Row],[Unit_Price]] * (1 - (Table1[[#This Row],[Discount]] / 100))) - Table1[[#This Row],[Unit_Cost]])</f>
        <v>7061.2117840000092</v>
      </c>
      <c r="G496" s="3">
        <v>46</v>
      </c>
      <c r="H496" t="s">
        <v>35</v>
      </c>
      <c r="I496">
        <v>984.53</v>
      </c>
      <c r="J496" s="2">
        <v>1138.49</v>
      </c>
      <c r="K496" t="s">
        <v>30</v>
      </c>
      <c r="L496" s="4">
        <v>0.04</v>
      </c>
      <c r="M496" t="s">
        <v>27</v>
      </c>
      <c r="N496" t="s">
        <v>19</v>
      </c>
      <c r="O496" t="s">
        <v>23</v>
      </c>
    </row>
    <row r="497" spans="1:15" x14ac:dyDescent="0.25">
      <c r="A497" s="3">
        <v>1063</v>
      </c>
      <c r="B497" s="1">
        <v>45028</v>
      </c>
      <c r="C497" t="s">
        <v>33</v>
      </c>
      <c r="D497" t="s">
        <v>15</v>
      </c>
      <c r="E497" s="2">
        <f>Table1[[#This Row],[Quantity_Sold]] * Table1[[#This Row],[Unit_Price]] * (1 - (Table1[[#This Row],[Discount]] / 100))</f>
        <v>97371.374480000013</v>
      </c>
      <c r="F497" s="2">
        <f>Table1[[#This Row],[Quantity_Sold]] * ((Table1[[#This Row],[Unit_Price]] * (1 - (Table1[[#This Row],[Discount]] / 100))) - Table1[[#This Row],[Unit_Cost]])</f>
        <v>13318.574479999988</v>
      </c>
      <c r="G497" s="3">
        <v>40</v>
      </c>
      <c r="H497" t="s">
        <v>35</v>
      </c>
      <c r="I497">
        <v>2101.3200000000002</v>
      </c>
      <c r="J497" s="2">
        <v>2440.63</v>
      </c>
      <c r="K497" t="s">
        <v>30</v>
      </c>
      <c r="L497" s="4">
        <v>0.26</v>
      </c>
      <c r="M497" t="s">
        <v>27</v>
      </c>
      <c r="N497" t="s">
        <v>22</v>
      </c>
      <c r="O497" t="s">
        <v>53</v>
      </c>
    </row>
    <row r="498" spans="1:15" x14ac:dyDescent="0.25">
      <c r="A498" s="3">
        <v>1069</v>
      </c>
      <c r="B498" s="1">
        <v>45280</v>
      </c>
      <c r="C498" t="s">
        <v>38</v>
      </c>
      <c r="D498" t="s">
        <v>15</v>
      </c>
      <c r="E498" s="2">
        <f>Table1[[#This Row],[Quantity_Sold]] * Table1[[#This Row],[Unit_Price]] * (1 - (Table1[[#This Row],[Discount]] / 100))</f>
        <v>60315.926399999997</v>
      </c>
      <c r="F498" s="2">
        <f>Table1[[#This Row],[Quantity_Sold]] * ((Table1[[#This Row],[Unit_Price]] * (1 - (Table1[[#This Row],[Discount]] / 100))) - Table1[[#This Row],[Unit_Cost]])</f>
        <v>4127.8463999999949</v>
      </c>
      <c r="G498" s="3">
        <v>12</v>
      </c>
      <c r="H498" t="s">
        <v>16</v>
      </c>
      <c r="I498">
        <v>4682.34</v>
      </c>
      <c r="J498" s="2">
        <v>5036.3999999999996</v>
      </c>
      <c r="K498" t="s">
        <v>30</v>
      </c>
      <c r="L498" s="4">
        <v>0.2</v>
      </c>
      <c r="M498" t="s">
        <v>27</v>
      </c>
      <c r="N498" t="s">
        <v>22</v>
      </c>
      <c r="O498" t="s">
        <v>40</v>
      </c>
    </row>
    <row r="499" spans="1:15" x14ac:dyDescent="0.25">
      <c r="A499" s="3">
        <v>1022</v>
      </c>
      <c r="B499" s="1">
        <v>44938</v>
      </c>
      <c r="C499" t="s">
        <v>38</v>
      </c>
      <c r="D499" t="s">
        <v>34</v>
      </c>
      <c r="E499" s="2">
        <f>Table1[[#This Row],[Quantity_Sold]] * Table1[[#This Row],[Unit_Price]] * (1 - (Table1[[#This Row],[Discount]] / 100))</f>
        <v>32540.264119999996</v>
      </c>
      <c r="F499" s="2">
        <f>Table1[[#This Row],[Quantity_Sold]] * ((Table1[[#This Row],[Unit_Price]] * (1 - (Table1[[#This Row],[Discount]] / 100))) - Table1[[#This Row],[Unit_Cost]])</f>
        <v>2478.4141199999972</v>
      </c>
      <c r="G499" s="3">
        <v>13</v>
      </c>
      <c r="H499" t="s">
        <v>26</v>
      </c>
      <c r="I499">
        <v>2312.4499999999998</v>
      </c>
      <c r="J499" s="2">
        <v>2504.6</v>
      </c>
      <c r="K499" t="s">
        <v>17</v>
      </c>
      <c r="L499" s="4">
        <v>0.06</v>
      </c>
      <c r="M499" t="s">
        <v>27</v>
      </c>
      <c r="N499" t="s">
        <v>19</v>
      </c>
      <c r="O499" t="s">
        <v>48</v>
      </c>
    </row>
    <row r="500" spans="1:15" x14ac:dyDescent="0.25">
      <c r="A500" s="3">
        <v>1093</v>
      </c>
      <c r="B500" s="1">
        <v>45201</v>
      </c>
      <c r="C500" t="s">
        <v>14</v>
      </c>
      <c r="D500" t="s">
        <v>21</v>
      </c>
      <c r="E500" s="2">
        <f>Table1[[#This Row],[Quantity_Sold]] * Table1[[#This Row],[Unit_Price]] * (1 - (Table1[[#This Row],[Discount]] / 100))</f>
        <v>64682.132864000007</v>
      </c>
      <c r="F500" s="2">
        <f>Table1[[#This Row],[Quantity_Sold]] * ((Table1[[#This Row],[Unit_Price]] * (1 - (Table1[[#This Row],[Discount]] / 100))) - Table1[[#This Row],[Unit_Cost]])</f>
        <v>751.45286400000396</v>
      </c>
      <c r="G500" s="3">
        <v>43</v>
      </c>
      <c r="H500" t="s">
        <v>35</v>
      </c>
      <c r="I500">
        <v>1486.76</v>
      </c>
      <c r="J500" s="2">
        <v>1505.44</v>
      </c>
      <c r="K500" t="s">
        <v>30</v>
      </c>
      <c r="L500" s="4">
        <v>0.08</v>
      </c>
      <c r="M500" t="s">
        <v>18</v>
      </c>
      <c r="N500" t="s">
        <v>22</v>
      </c>
      <c r="O500" t="s">
        <v>23</v>
      </c>
    </row>
    <row r="501" spans="1:15" x14ac:dyDescent="0.25">
      <c r="A501" s="3">
        <v>1067</v>
      </c>
      <c r="B501" s="1">
        <v>45027</v>
      </c>
      <c r="C501" t="s">
        <v>14</v>
      </c>
      <c r="D501" t="s">
        <v>34</v>
      </c>
      <c r="E501" s="2">
        <f>Table1[[#This Row],[Quantity_Sold]] * Table1[[#This Row],[Unit_Price]] * (1 - (Table1[[#This Row],[Discount]] / 100))</f>
        <v>54034.555080000006</v>
      </c>
      <c r="F501" s="2">
        <f>Table1[[#This Row],[Quantity_Sold]] * ((Table1[[#This Row],[Unit_Price]] * (1 - (Table1[[#This Row],[Discount]] / 100))) - Table1[[#This Row],[Unit_Cost]])</f>
        <v>5897.6950800000013</v>
      </c>
      <c r="G501" s="3">
        <v>17</v>
      </c>
      <c r="H501" t="s">
        <v>26</v>
      </c>
      <c r="I501">
        <v>2831.58</v>
      </c>
      <c r="J501" s="2">
        <v>3186.15</v>
      </c>
      <c r="K501" t="s">
        <v>30</v>
      </c>
      <c r="L501" s="4">
        <v>0.24</v>
      </c>
      <c r="M501" t="s">
        <v>27</v>
      </c>
      <c r="N501" t="s">
        <v>22</v>
      </c>
      <c r="O501" t="s">
        <v>46</v>
      </c>
    </row>
    <row r="502" spans="1:15" x14ac:dyDescent="0.25">
      <c r="A502" s="3">
        <v>1076</v>
      </c>
      <c r="B502" s="1">
        <v>44970</v>
      </c>
      <c r="C502" t="s">
        <v>38</v>
      </c>
      <c r="D502" t="s">
        <v>15</v>
      </c>
      <c r="E502" s="2">
        <f>Table1[[#This Row],[Quantity_Sold]] * Table1[[#This Row],[Unit_Price]] * (1 - (Table1[[#This Row],[Discount]] / 100))</f>
        <v>10605.201902000001</v>
      </c>
      <c r="F502" s="2">
        <f>Table1[[#This Row],[Quantity_Sold]] * ((Table1[[#This Row],[Unit_Price]] * (1 - (Table1[[#This Row],[Discount]] / 100))) - Table1[[#This Row],[Unit_Cost]])</f>
        <v>335.84190199999989</v>
      </c>
      <c r="G502" s="3">
        <v>17</v>
      </c>
      <c r="H502" t="s">
        <v>29</v>
      </c>
      <c r="I502">
        <v>604.08000000000004</v>
      </c>
      <c r="J502" s="2">
        <v>624.71</v>
      </c>
      <c r="K502" t="s">
        <v>30</v>
      </c>
      <c r="L502" s="4">
        <v>0.14000000000000001</v>
      </c>
      <c r="M502" t="s">
        <v>27</v>
      </c>
      <c r="N502" t="s">
        <v>22</v>
      </c>
      <c r="O502" t="s">
        <v>40</v>
      </c>
    </row>
    <row r="503" spans="1:15" x14ac:dyDescent="0.25">
      <c r="A503" s="3">
        <v>1026</v>
      </c>
      <c r="B503" s="1">
        <v>45231</v>
      </c>
      <c r="C503" t="s">
        <v>42</v>
      </c>
      <c r="D503" t="s">
        <v>25</v>
      </c>
      <c r="E503" s="2">
        <f>Table1[[#This Row],[Quantity_Sold]] * Table1[[#This Row],[Unit_Price]] * (1 - (Table1[[#This Row],[Discount]] / 100))</f>
        <v>121664.06424000001</v>
      </c>
      <c r="F503" s="2">
        <f>Table1[[#This Row],[Quantity_Sold]] * ((Table1[[#This Row],[Unit_Price]] * (1 - (Table1[[#This Row],[Discount]] / 100))) - Table1[[#This Row],[Unit_Cost]])</f>
        <v>11250.264239999988</v>
      </c>
      <c r="G503" s="3">
        <v>36</v>
      </c>
      <c r="H503" t="s">
        <v>29</v>
      </c>
      <c r="I503">
        <v>3067.05</v>
      </c>
      <c r="J503" s="2">
        <v>3386.33</v>
      </c>
      <c r="K503" t="s">
        <v>30</v>
      </c>
      <c r="L503" s="4">
        <v>0.2</v>
      </c>
      <c r="M503" t="s">
        <v>27</v>
      </c>
      <c r="N503" t="s">
        <v>19</v>
      </c>
      <c r="O503" t="s">
        <v>43</v>
      </c>
    </row>
    <row r="504" spans="1:15" x14ac:dyDescent="0.25">
      <c r="A504" s="3">
        <v>1016</v>
      </c>
      <c r="B504" s="1">
        <v>44943</v>
      </c>
      <c r="C504" t="s">
        <v>38</v>
      </c>
      <c r="D504" t="s">
        <v>21</v>
      </c>
      <c r="E504" s="2">
        <f>Table1[[#This Row],[Quantity_Sold]] * Table1[[#This Row],[Unit_Price]] * (1 - (Table1[[#This Row],[Discount]] / 100))</f>
        <v>61970.07789</v>
      </c>
      <c r="F504" s="2">
        <f>Table1[[#This Row],[Quantity_Sold]] * ((Table1[[#This Row],[Unit_Price]] * (1 - (Table1[[#This Row],[Discount]] / 100))) - Table1[[#This Row],[Unit_Cost]])</f>
        <v>1831.5378899999978</v>
      </c>
      <c r="G504" s="3">
        <v>21</v>
      </c>
      <c r="H504" t="s">
        <v>35</v>
      </c>
      <c r="I504">
        <v>2863.74</v>
      </c>
      <c r="J504" s="2">
        <v>2953.91</v>
      </c>
      <c r="K504" t="s">
        <v>30</v>
      </c>
      <c r="L504" s="4">
        <v>0.1</v>
      </c>
      <c r="M504" t="s">
        <v>27</v>
      </c>
      <c r="N504" t="s">
        <v>22</v>
      </c>
      <c r="O504" t="s">
        <v>41</v>
      </c>
    </row>
    <row r="505" spans="1:15" x14ac:dyDescent="0.25">
      <c r="A505" s="3">
        <v>1051</v>
      </c>
      <c r="B505" s="1">
        <v>45256</v>
      </c>
      <c r="C505" t="s">
        <v>38</v>
      </c>
      <c r="D505" t="s">
        <v>25</v>
      </c>
      <c r="E505" s="2">
        <f>Table1[[#This Row],[Quantity_Sold]] * Table1[[#This Row],[Unit_Price]] * (1 - (Table1[[#This Row],[Discount]] / 100))</f>
        <v>34022.693823999922</v>
      </c>
      <c r="F505" s="2">
        <f>Table1[[#This Row],[Quantity_Sold]] * ((Table1[[#This Row],[Unit_Price]] * (1 - (Table1[[#This Row],[Discount]] / 100))) - Table1[[#This Row],[Unit_Cost]])</f>
        <v>2259.7338239999226</v>
      </c>
      <c r="G505" s="3">
        <v>8</v>
      </c>
      <c r="H505" t="s">
        <v>26</v>
      </c>
      <c r="I505">
        <v>3970.37</v>
      </c>
      <c r="J505" s="2">
        <v>4257.5199999999904</v>
      </c>
      <c r="K505" t="s">
        <v>30</v>
      </c>
      <c r="L505" s="4">
        <v>0.11</v>
      </c>
      <c r="M505" t="s">
        <v>18</v>
      </c>
      <c r="N505" t="s">
        <v>22</v>
      </c>
      <c r="O505" t="s">
        <v>39</v>
      </c>
    </row>
    <row r="506" spans="1:15" x14ac:dyDescent="0.25">
      <c r="A506" s="3">
        <v>1086</v>
      </c>
      <c r="B506" s="1">
        <v>44983</v>
      </c>
      <c r="C506" t="s">
        <v>14</v>
      </c>
      <c r="D506" t="s">
        <v>21</v>
      </c>
      <c r="E506" s="2">
        <f>Table1[[#This Row],[Quantity_Sold]] * Table1[[#This Row],[Unit_Price]] * (1 - (Table1[[#This Row],[Discount]] / 100))</f>
        <v>25877.234700000001</v>
      </c>
      <c r="F506" s="2">
        <f>Table1[[#This Row],[Quantity_Sold]] * ((Table1[[#This Row],[Unit_Price]] * (1 - (Table1[[#This Row],[Discount]] / 100))) - Table1[[#This Row],[Unit_Cost]])</f>
        <v>1206.7347000000018</v>
      </c>
      <c r="G506" s="3">
        <v>5</v>
      </c>
      <c r="H506" t="s">
        <v>35</v>
      </c>
      <c r="I506">
        <v>4934.1000000000004</v>
      </c>
      <c r="J506" s="2">
        <v>5191.0200000000004</v>
      </c>
      <c r="K506" t="s">
        <v>30</v>
      </c>
      <c r="L506" s="4">
        <v>0.3</v>
      </c>
      <c r="M506" t="s">
        <v>27</v>
      </c>
      <c r="N506" t="s">
        <v>19</v>
      </c>
      <c r="O506" t="s">
        <v>23</v>
      </c>
    </row>
    <row r="507" spans="1:15" x14ac:dyDescent="0.25">
      <c r="A507" s="3">
        <v>1057</v>
      </c>
      <c r="B507" s="1">
        <v>45237</v>
      </c>
      <c r="C507" t="s">
        <v>14</v>
      </c>
      <c r="D507" t="s">
        <v>34</v>
      </c>
      <c r="E507" s="2">
        <f>Table1[[#This Row],[Quantity_Sold]] * Table1[[#This Row],[Unit_Price]] * (1 - (Table1[[#This Row],[Discount]] / 100))</f>
        <v>33995.626391999736</v>
      </c>
      <c r="F507" s="2">
        <f>Table1[[#This Row],[Quantity_Sold]] * ((Table1[[#This Row],[Unit_Price]] * (1 - (Table1[[#This Row],[Discount]] / 100))) - Table1[[#This Row],[Unit_Cost]])</f>
        <v>408.30639199974439</v>
      </c>
      <c r="G507" s="3">
        <v>26</v>
      </c>
      <c r="H507" t="s">
        <v>29</v>
      </c>
      <c r="I507">
        <v>1291.82</v>
      </c>
      <c r="J507" s="2">
        <v>1308.4399999999901</v>
      </c>
      <c r="K507" t="s">
        <v>17</v>
      </c>
      <c r="L507" s="4">
        <v>7.0000000000000007E-2</v>
      </c>
      <c r="M507" t="s">
        <v>31</v>
      </c>
      <c r="N507" t="s">
        <v>19</v>
      </c>
      <c r="O507" t="s">
        <v>46</v>
      </c>
    </row>
    <row r="508" spans="1:15" x14ac:dyDescent="0.25">
      <c r="A508" s="3">
        <v>1029</v>
      </c>
      <c r="B508" s="1">
        <v>45229</v>
      </c>
      <c r="C508" t="s">
        <v>38</v>
      </c>
      <c r="D508" t="s">
        <v>34</v>
      </c>
      <c r="E508" s="2">
        <f>Table1[[#This Row],[Quantity_Sold]] * Table1[[#This Row],[Unit_Price]] * (1 - (Table1[[#This Row],[Discount]] / 100))</f>
        <v>44103.345600000001</v>
      </c>
      <c r="F508" s="2">
        <f>Table1[[#This Row],[Quantity_Sold]] * ((Table1[[#This Row],[Unit_Price]] * (1 - (Table1[[#This Row],[Discount]] / 100))) - Table1[[#This Row],[Unit_Cost]])</f>
        <v>2938.5455999999976</v>
      </c>
      <c r="G508" s="3">
        <v>16</v>
      </c>
      <c r="H508" t="s">
        <v>35</v>
      </c>
      <c r="I508">
        <v>2572.8000000000002</v>
      </c>
      <c r="J508" s="2">
        <v>2760.6</v>
      </c>
      <c r="K508" t="s">
        <v>17</v>
      </c>
      <c r="L508" s="4">
        <v>0.15</v>
      </c>
      <c r="M508" t="s">
        <v>31</v>
      </c>
      <c r="N508" t="s">
        <v>22</v>
      </c>
      <c r="O508" t="s">
        <v>48</v>
      </c>
    </row>
    <row r="509" spans="1:15" x14ac:dyDescent="0.25">
      <c r="A509" s="3">
        <v>1078</v>
      </c>
      <c r="B509" s="1">
        <v>44938</v>
      </c>
      <c r="C509" t="s">
        <v>38</v>
      </c>
      <c r="D509" t="s">
        <v>34</v>
      </c>
      <c r="E509" s="2">
        <f>Table1[[#This Row],[Quantity_Sold]] * Table1[[#This Row],[Unit_Price]] * (1 - (Table1[[#This Row],[Discount]] / 100))</f>
        <v>174285.95310000001</v>
      </c>
      <c r="F509" s="2">
        <f>Table1[[#This Row],[Quantity_Sold]] * ((Table1[[#This Row],[Unit_Price]] * (1 - (Table1[[#This Row],[Discount]] / 100))) - Table1[[#This Row],[Unit_Cost]])</f>
        <v>10526.273099999984</v>
      </c>
      <c r="G509" s="3">
        <v>36</v>
      </c>
      <c r="H509" t="s">
        <v>26</v>
      </c>
      <c r="I509">
        <v>4548.88</v>
      </c>
      <c r="J509" s="2">
        <v>4853.41</v>
      </c>
      <c r="K509" t="s">
        <v>17</v>
      </c>
      <c r="L509" s="4">
        <v>0.25</v>
      </c>
      <c r="M509" t="s">
        <v>31</v>
      </c>
      <c r="N509" t="s">
        <v>22</v>
      </c>
      <c r="O509" t="s">
        <v>48</v>
      </c>
    </row>
    <row r="510" spans="1:15" x14ac:dyDescent="0.25">
      <c r="A510" s="3">
        <v>1092</v>
      </c>
      <c r="B510" s="1">
        <v>45244</v>
      </c>
      <c r="C510" t="s">
        <v>38</v>
      </c>
      <c r="D510" t="s">
        <v>34</v>
      </c>
      <c r="E510" s="2">
        <f>Table1[[#This Row],[Quantity_Sold]] * Table1[[#This Row],[Unit_Price]] * (1 - (Table1[[#This Row],[Discount]] / 100))</f>
        <v>122064.774804</v>
      </c>
      <c r="F510" s="2">
        <f>Table1[[#This Row],[Quantity_Sold]] * ((Table1[[#This Row],[Unit_Price]] * (1 - (Table1[[#This Row],[Discount]] / 100))) - Table1[[#This Row],[Unit_Cost]])</f>
        <v>11837.454803999988</v>
      </c>
      <c r="G510" s="3">
        <v>28</v>
      </c>
      <c r="H510" t="s">
        <v>29</v>
      </c>
      <c r="I510">
        <v>3936.69</v>
      </c>
      <c r="J510" s="2">
        <v>4362.51</v>
      </c>
      <c r="K510" t="s">
        <v>17</v>
      </c>
      <c r="L510" s="4">
        <v>7.0000000000000007E-2</v>
      </c>
      <c r="M510" t="s">
        <v>31</v>
      </c>
      <c r="N510" t="s">
        <v>22</v>
      </c>
      <c r="O510" t="s">
        <v>48</v>
      </c>
    </row>
    <row r="511" spans="1:15" x14ac:dyDescent="0.25">
      <c r="A511" s="3">
        <v>1069</v>
      </c>
      <c r="B511" s="1">
        <v>45006</v>
      </c>
      <c r="C511" t="s">
        <v>14</v>
      </c>
      <c r="D511" t="s">
        <v>34</v>
      </c>
      <c r="E511" s="2">
        <f>Table1[[#This Row],[Quantity_Sold]] * Table1[[#This Row],[Unit_Price]] * (1 - (Table1[[#This Row],[Discount]] / 100))</f>
        <v>84233.408467999718</v>
      </c>
      <c r="F511" s="2">
        <f>Table1[[#This Row],[Quantity_Sold]] * ((Table1[[#This Row],[Unit_Price]] * (1 - (Table1[[#This Row],[Discount]] / 100))) - Table1[[#This Row],[Unit_Cost]])</f>
        <v>12816.268467999716</v>
      </c>
      <c r="G511" s="3">
        <v>29</v>
      </c>
      <c r="H511" t="s">
        <v>16</v>
      </c>
      <c r="I511">
        <v>2462.66</v>
      </c>
      <c r="J511" s="2">
        <v>2908.0899999999901</v>
      </c>
      <c r="K511" t="s">
        <v>30</v>
      </c>
      <c r="L511" s="4">
        <v>0.12</v>
      </c>
      <c r="M511" t="s">
        <v>31</v>
      </c>
      <c r="N511" t="s">
        <v>19</v>
      </c>
      <c r="O511" t="s">
        <v>46</v>
      </c>
    </row>
    <row r="512" spans="1:15" x14ac:dyDescent="0.25">
      <c r="A512" s="3">
        <v>1047</v>
      </c>
      <c r="B512" s="1">
        <v>45142</v>
      </c>
      <c r="C512" t="s">
        <v>38</v>
      </c>
      <c r="D512" t="s">
        <v>25</v>
      </c>
      <c r="E512" s="2">
        <f>Table1[[#This Row],[Quantity_Sold]] * Table1[[#This Row],[Unit_Price]] * (1 - (Table1[[#This Row],[Discount]] / 100))</f>
        <v>233482.932872</v>
      </c>
      <c r="F512" s="2">
        <f>Table1[[#This Row],[Quantity_Sold]] * ((Table1[[#This Row],[Unit_Price]] * (1 - (Table1[[#This Row],[Discount]] / 100))) - Table1[[#This Row],[Unit_Cost]])</f>
        <v>11192.202871999983</v>
      </c>
      <c r="G512" s="3">
        <v>47</v>
      </c>
      <c r="H512" t="s">
        <v>29</v>
      </c>
      <c r="I512">
        <v>4729.59</v>
      </c>
      <c r="J512" s="2">
        <v>4976.68</v>
      </c>
      <c r="K512" t="s">
        <v>17</v>
      </c>
      <c r="L512" s="4">
        <v>0.18</v>
      </c>
      <c r="M512" t="s">
        <v>31</v>
      </c>
      <c r="N512" t="s">
        <v>22</v>
      </c>
      <c r="O512" t="s">
        <v>39</v>
      </c>
    </row>
    <row r="513" spans="1:15" x14ac:dyDescent="0.25">
      <c r="A513" s="3">
        <v>1094</v>
      </c>
      <c r="B513" s="1">
        <v>45265</v>
      </c>
      <c r="C513" t="s">
        <v>38</v>
      </c>
      <c r="D513" t="s">
        <v>34</v>
      </c>
      <c r="E513" s="2">
        <f>Table1[[#This Row],[Quantity_Sold]] * Table1[[#This Row],[Unit_Price]] * (1 - (Table1[[#This Row],[Discount]] / 100))</f>
        <v>8391.2358000000004</v>
      </c>
      <c r="F513" s="2">
        <f>Table1[[#This Row],[Quantity_Sold]] * ((Table1[[#This Row],[Unit_Price]] * (1 - (Table1[[#This Row],[Discount]] / 100))) - Table1[[#This Row],[Unit_Cost]])</f>
        <v>4391.3958000000011</v>
      </c>
      <c r="G513" s="3">
        <v>12</v>
      </c>
      <c r="H513" t="s">
        <v>16</v>
      </c>
      <c r="I513">
        <v>333.32</v>
      </c>
      <c r="J513" s="2">
        <v>700.25</v>
      </c>
      <c r="K513" t="s">
        <v>17</v>
      </c>
      <c r="L513" s="4">
        <v>0.14000000000000001</v>
      </c>
      <c r="M513" t="s">
        <v>18</v>
      </c>
      <c r="N513" t="s">
        <v>19</v>
      </c>
      <c r="O513" t="s">
        <v>48</v>
      </c>
    </row>
    <row r="514" spans="1:15" x14ac:dyDescent="0.25">
      <c r="A514" s="3">
        <v>1062</v>
      </c>
      <c r="B514" s="1">
        <v>45190</v>
      </c>
      <c r="C514" t="s">
        <v>24</v>
      </c>
      <c r="D514" t="s">
        <v>15</v>
      </c>
      <c r="E514" s="2">
        <f>Table1[[#This Row],[Quantity_Sold]] * Table1[[#This Row],[Unit_Price]] * (1 - (Table1[[#This Row],[Discount]] / 100))</f>
        <v>178219.6427</v>
      </c>
      <c r="F514" s="2">
        <f>Table1[[#This Row],[Quantity_Sold]] * ((Table1[[#This Row],[Unit_Price]] * (1 - (Table1[[#This Row],[Discount]] / 100))) - Table1[[#This Row],[Unit_Cost]])</f>
        <v>5857.3627000000333</v>
      </c>
      <c r="G514" s="3">
        <v>37</v>
      </c>
      <c r="H514" t="s">
        <v>35</v>
      </c>
      <c r="I514">
        <v>4658.4399999999996</v>
      </c>
      <c r="J514" s="2">
        <v>4823.5</v>
      </c>
      <c r="K514" t="s">
        <v>17</v>
      </c>
      <c r="L514" s="4">
        <v>0.14000000000000001</v>
      </c>
      <c r="M514" t="s">
        <v>31</v>
      </c>
      <c r="N514" t="s">
        <v>19</v>
      </c>
      <c r="O514" t="s">
        <v>45</v>
      </c>
    </row>
    <row r="515" spans="1:15" x14ac:dyDescent="0.25">
      <c r="A515" s="3">
        <v>1069</v>
      </c>
      <c r="B515" s="1">
        <v>45075</v>
      </c>
      <c r="C515" t="s">
        <v>42</v>
      </c>
      <c r="D515" t="s">
        <v>15</v>
      </c>
      <c r="E515" s="2">
        <f>Table1[[#This Row],[Quantity_Sold]] * Table1[[#This Row],[Unit_Price]] * (1 - (Table1[[#This Row],[Discount]] / 100))</f>
        <v>14314.636559999968</v>
      </c>
      <c r="F515" s="2">
        <f>Table1[[#This Row],[Quantity_Sold]] * ((Table1[[#This Row],[Unit_Price]] * (1 - (Table1[[#This Row],[Discount]] / 100))) - Table1[[#This Row],[Unit_Cost]])</f>
        <v>5314.3365599999706</v>
      </c>
      <c r="G515" s="3">
        <v>30</v>
      </c>
      <c r="H515" t="s">
        <v>35</v>
      </c>
      <c r="I515">
        <v>300.01</v>
      </c>
      <c r="J515" s="2">
        <v>477.67999999999898</v>
      </c>
      <c r="K515" t="s">
        <v>30</v>
      </c>
      <c r="L515" s="4">
        <v>0.11</v>
      </c>
      <c r="M515" t="s">
        <v>27</v>
      </c>
      <c r="N515" t="s">
        <v>22</v>
      </c>
      <c r="O515" t="s">
        <v>49</v>
      </c>
    </row>
    <row r="516" spans="1:15" x14ac:dyDescent="0.25">
      <c r="A516" s="3">
        <v>1076</v>
      </c>
      <c r="B516" s="1">
        <v>45007</v>
      </c>
      <c r="C516" t="s">
        <v>33</v>
      </c>
      <c r="D516" t="s">
        <v>25</v>
      </c>
      <c r="E516" s="2">
        <f>Table1[[#This Row],[Quantity_Sold]] * Table1[[#This Row],[Unit_Price]] * (1 - (Table1[[#This Row],[Discount]] / 100))</f>
        <v>65763.761769999983</v>
      </c>
      <c r="F516" s="2">
        <f>Table1[[#This Row],[Quantity_Sold]] * ((Table1[[#This Row],[Unit_Price]] * (1 - (Table1[[#This Row],[Discount]] / 100))) - Table1[[#This Row],[Unit_Cost]])</f>
        <v>2303.0817699999957</v>
      </c>
      <c r="G516" s="3">
        <v>23</v>
      </c>
      <c r="H516" t="s">
        <v>26</v>
      </c>
      <c r="I516">
        <v>2759.16</v>
      </c>
      <c r="J516" s="2">
        <v>2864.45</v>
      </c>
      <c r="K516" t="s">
        <v>17</v>
      </c>
      <c r="L516" s="4">
        <v>0.18</v>
      </c>
      <c r="M516" t="s">
        <v>31</v>
      </c>
      <c r="N516" t="s">
        <v>22</v>
      </c>
      <c r="O516" t="s">
        <v>44</v>
      </c>
    </row>
    <row r="517" spans="1:15" x14ac:dyDescent="0.25">
      <c r="A517" s="3">
        <v>1016</v>
      </c>
      <c r="B517" s="1">
        <v>45141</v>
      </c>
      <c r="C517" t="s">
        <v>42</v>
      </c>
      <c r="D517" t="s">
        <v>21</v>
      </c>
      <c r="E517" s="2">
        <f>Table1[[#This Row],[Quantity_Sold]] * Table1[[#This Row],[Unit_Price]] * (1 - (Table1[[#This Row],[Discount]] / 100))</f>
        <v>75744.291887999992</v>
      </c>
      <c r="F517" s="2">
        <f>Table1[[#This Row],[Quantity_Sold]] * ((Table1[[#This Row],[Unit_Price]] * (1 - (Table1[[#This Row],[Discount]] / 100))) - Table1[[#This Row],[Unit_Cost]])</f>
        <v>4421.4118879999878</v>
      </c>
      <c r="G517" s="3">
        <v>16</v>
      </c>
      <c r="H517" t="s">
        <v>16</v>
      </c>
      <c r="I517">
        <v>4457.68</v>
      </c>
      <c r="J517" s="2">
        <v>4743.03</v>
      </c>
      <c r="K517" t="s">
        <v>17</v>
      </c>
      <c r="L517" s="4">
        <v>0.19</v>
      </c>
      <c r="M517" t="s">
        <v>18</v>
      </c>
      <c r="N517" t="s">
        <v>19</v>
      </c>
      <c r="O517" t="s">
        <v>51</v>
      </c>
    </row>
    <row r="518" spans="1:15" x14ac:dyDescent="0.25">
      <c r="A518" s="3">
        <v>1090</v>
      </c>
      <c r="B518" s="1">
        <v>45124</v>
      </c>
      <c r="C518" t="s">
        <v>24</v>
      </c>
      <c r="D518" t="s">
        <v>15</v>
      </c>
      <c r="E518" s="2">
        <f>Table1[[#This Row],[Quantity_Sold]] * Table1[[#This Row],[Unit_Price]] * (1 - (Table1[[#This Row],[Discount]] / 100))</f>
        <v>21162.130919999996</v>
      </c>
      <c r="F518" s="2">
        <f>Table1[[#This Row],[Quantity_Sold]] * ((Table1[[#This Row],[Unit_Price]] * (1 - (Table1[[#This Row],[Discount]] / 100))) - Table1[[#This Row],[Unit_Cost]])</f>
        <v>2255.5509199999997</v>
      </c>
      <c r="G518" s="3">
        <v>14</v>
      </c>
      <c r="H518" t="s">
        <v>35</v>
      </c>
      <c r="I518">
        <v>1350.47</v>
      </c>
      <c r="J518" s="2">
        <v>1514.61</v>
      </c>
      <c r="K518" t="s">
        <v>30</v>
      </c>
      <c r="L518" s="4">
        <v>0.2</v>
      </c>
      <c r="M518" t="s">
        <v>31</v>
      </c>
      <c r="N518" t="s">
        <v>22</v>
      </c>
      <c r="O518" t="s">
        <v>45</v>
      </c>
    </row>
    <row r="519" spans="1:15" x14ac:dyDescent="0.25">
      <c r="A519" s="3">
        <v>1090</v>
      </c>
      <c r="B519" s="1">
        <v>45126</v>
      </c>
      <c r="C519" t="s">
        <v>33</v>
      </c>
      <c r="D519" t="s">
        <v>21</v>
      </c>
      <c r="E519" s="2">
        <f>Table1[[#This Row],[Quantity_Sold]] * Table1[[#This Row],[Unit_Price]] * (1 - (Table1[[#This Row],[Discount]] / 100))</f>
        <v>24384.822059999999</v>
      </c>
      <c r="F519" s="2">
        <f>Table1[[#This Row],[Quantity_Sold]] * ((Table1[[#This Row],[Unit_Price]] * (1 - (Table1[[#This Row],[Discount]] / 100))) - Table1[[#This Row],[Unit_Cost]])</f>
        <v>508.52205999999569</v>
      </c>
      <c r="G519" s="3">
        <v>10</v>
      </c>
      <c r="H519" t="s">
        <v>16</v>
      </c>
      <c r="I519">
        <v>2387.63</v>
      </c>
      <c r="J519" s="2">
        <v>2438.9699999999998</v>
      </c>
      <c r="K519" t="s">
        <v>17</v>
      </c>
      <c r="L519" s="4">
        <v>0.02</v>
      </c>
      <c r="M519" t="s">
        <v>27</v>
      </c>
      <c r="N519" t="s">
        <v>22</v>
      </c>
      <c r="O519" t="s">
        <v>37</v>
      </c>
    </row>
    <row r="520" spans="1:15" x14ac:dyDescent="0.25">
      <c r="A520" s="3">
        <v>1048</v>
      </c>
      <c r="B520" s="1">
        <v>44951</v>
      </c>
      <c r="C520" t="s">
        <v>38</v>
      </c>
      <c r="D520" t="s">
        <v>25</v>
      </c>
      <c r="E520" s="2">
        <f>Table1[[#This Row],[Quantity_Sold]] * Table1[[#This Row],[Unit_Price]] * (1 - (Table1[[#This Row],[Discount]] / 100))</f>
        <v>13980.945635999999</v>
      </c>
      <c r="F520" s="2">
        <f>Table1[[#This Row],[Quantity_Sold]] * ((Table1[[#This Row],[Unit_Price]] * (1 - (Table1[[#This Row],[Discount]] / 100))) - Table1[[#This Row],[Unit_Cost]])</f>
        <v>2392.9356359999992</v>
      </c>
      <c r="G520" s="3">
        <v>7</v>
      </c>
      <c r="H520" t="s">
        <v>35</v>
      </c>
      <c r="I520">
        <v>1655.43</v>
      </c>
      <c r="J520" s="2">
        <v>2001.08</v>
      </c>
      <c r="K520" t="s">
        <v>30</v>
      </c>
      <c r="L520" s="4">
        <v>0.19</v>
      </c>
      <c r="M520" t="s">
        <v>27</v>
      </c>
      <c r="N520" t="s">
        <v>19</v>
      </c>
      <c r="O520" t="s">
        <v>39</v>
      </c>
    </row>
    <row r="521" spans="1:15" x14ac:dyDescent="0.25">
      <c r="A521" s="3">
        <v>1085</v>
      </c>
      <c r="B521" s="1">
        <v>45015</v>
      </c>
      <c r="C521" t="s">
        <v>24</v>
      </c>
      <c r="D521" t="s">
        <v>21</v>
      </c>
      <c r="E521" s="2">
        <f>Table1[[#This Row],[Quantity_Sold]] * Table1[[#This Row],[Unit_Price]] * (1 - (Table1[[#This Row],[Discount]] / 100))</f>
        <v>229727.80174499998</v>
      </c>
      <c r="F521" s="2">
        <f>Table1[[#This Row],[Quantity_Sold]] * ((Table1[[#This Row],[Unit_Price]] * (1 - (Table1[[#This Row],[Discount]] / 100))) - Table1[[#This Row],[Unit_Cost]])</f>
        <v>15387.851745000016</v>
      </c>
      <c r="G521" s="3">
        <v>45</v>
      </c>
      <c r="H521" t="s">
        <v>29</v>
      </c>
      <c r="I521">
        <v>4763.1099999999997</v>
      </c>
      <c r="J521" s="2">
        <v>5119.91</v>
      </c>
      <c r="K521" t="s">
        <v>17</v>
      </c>
      <c r="L521" s="4">
        <v>0.28999999999999998</v>
      </c>
      <c r="M521" t="s">
        <v>18</v>
      </c>
      <c r="N521" t="s">
        <v>22</v>
      </c>
      <c r="O521" t="s">
        <v>47</v>
      </c>
    </row>
    <row r="522" spans="1:15" x14ac:dyDescent="0.25">
      <c r="A522" s="3">
        <v>1039</v>
      </c>
      <c r="B522" s="1">
        <v>45194</v>
      </c>
      <c r="C522" t="s">
        <v>38</v>
      </c>
      <c r="D522" t="s">
        <v>21</v>
      </c>
      <c r="E522" s="2">
        <f>Table1[[#This Row],[Quantity_Sold]] * Table1[[#This Row],[Unit_Price]] * (1 - (Table1[[#This Row],[Discount]] / 100))</f>
        <v>159342.29376</v>
      </c>
      <c r="F522" s="2">
        <f>Table1[[#This Row],[Quantity_Sold]] * ((Table1[[#This Row],[Unit_Price]] * (1 - (Table1[[#This Row],[Discount]] / 100))) - Table1[[#This Row],[Unit_Cost]])</f>
        <v>6641.4437599999737</v>
      </c>
      <c r="G522" s="3">
        <v>37</v>
      </c>
      <c r="H522" t="s">
        <v>35</v>
      </c>
      <c r="I522">
        <v>4127.05</v>
      </c>
      <c r="J522" s="2">
        <v>4313.45</v>
      </c>
      <c r="K522" t="s">
        <v>30</v>
      </c>
      <c r="L522" s="4">
        <v>0.16</v>
      </c>
      <c r="M522" t="s">
        <v>18</v>
      </c>
      <c r="N522" t="s">
        <v>19</v>
      </c>
      <c r="O522" t="s">
        <v>41</v>
      </c>
    </row>
    <row r="523" spans="1:15" x14ac:dyDescent="0.25">
      <c r="A523" s="3">
        <v>1100</v>
      </c>
      <c r="B523" s="1">
        <v>45069</v>
      </c>
      <c r="C523" t="s">
        <v>14</v>
      </c>
      <c r="D523" t="s">
        <v>21</v>
      </c>
      <c r="E523" s="2">
        <f>Table1[[#This Row],[Quantity_Sold]] * Table1[[#This Row],[Unit_Price]] * (1 - (Table1[[#This Row],[Discount]] / 100))</f>
        <v>104387.67456500001</v>
      </c>
      <c r="F523" s="2">
        <f>Table1[[#This Row],[Quantity_Sold]] * ((Table1[[#This Row],[Unit_Price]] * (1 - (Table1[[#This Row],[Discount]] / 100))) - Table1[[#This Row],[Unit_Cost]])</f>
        <v>1160.4345650000073</v>
      </c>
      <c r="G523" s="3">
        <v>29</v>
      </c>
      <c r="H523" t="s">
        <v>26</v>
      </c>
      <c r="I523">
        <v>3559.56</v>
      </c>
      <c r="J523" s="2">
        <v>3607.15</v>
      </c>
      <c r="K523" t="s">
        <v>17</v>
      </c>
      <c r="L523" s="4">
        <v>0.21</v>
      </c>
      <c r="M523" t="s">
        <v>18</v>
      </c>
      <c r="N523" t="s">
        <v>22</v>
      </c>
      <c r="O523" t="s">
        <v>23</v>
      </c>
    </row>
    <row r="524" spans="1:15" x14ac:dyDescent="0.25">
      <c r="A524" s="3">
        <v>1033</v>
      </c>
      <c r="B524" s="1">
        <v>44985</v>
      </c>
      <c r="C524" t="s">
        <v>24</v>
      </c>
      <c r="D524" t="s">
        <v>21</v>
      </c>
      <c r="E524" s="2">
        <f>Table1[[#This Row],[Quantity_Sold]] * Table1[[#This Row],[Unit_Price]] * (1 - (Table1[[#This Row],[Discount]] / 100))</f>
        <v>9516.7140359999994</v>
      </c>
      <c r="F524" s="2">
        <f>Table1[[#This Row],[Quantity_Sold]] * ((Table1[[#This Row],[Unit_Price]] * (1 - (Table1[[#This Row],[Discount]] / 100))) - Table1[[#This Row],[Unit_Cost]])</f>
        <v>640.4640359999994</v>
      </c>
      <c r="G524" s="3">
        <v>3</v>
      </c>
      <c r="H524" t="s">
        <v>29</v>
      </c>
      <c r="I524">
        <v>2958.75</v>
      </c>
      <c r="J524" s="2">
        <v>3177.64</v>
      </c>
      <c r="K524" t="s">
        <v>17</v>
      </c>
      <c r="L524" s="4">
        <v>0.17</v>
      </c>
      <c r="M524" t="s">
        <v>18</v>
      </c>
      <c r="N524" t="s">
        <v>19</v>
      </c>
      <c r="O524" t="s">
        <v>47</v>
      </c>
    </row>
    <row r="525" spans="1:15" x14ac:dyDescent="0.25">
      <c r="A525" s="3">
        <v>1094</v>
      </c>
      <c r="B525" s="1">
        <v>45291</v>
      </c>
      <c r="C525" t="s">
        <v>14</v>
      </c>
      <c r="D525" t="s">
        <v>25</v>
      </c>
      <c r="E525" s="2">
        <f>Table1[[#This Row],[Quantity_Sold]] * Table1[[#This Row],[Unit_Price]] * (1 - (Table1[[#This Row],[Discount]] / 100))</f>
        <v>64910.841869999997</v>
      </c>
      <c r="F525" s="2">
        <f>Table1[[#This Row],[Quantity_Sold]] * ((Table1[[#This Row],[Unit_Price]] * (1 - (Table1[[#This Row],[Discount]] / 100))) - Table1[[#This Row],[Unit_Cost]])</f>
        <v>3231.8918699999904</v>
      </c>
      <c r="G525" s="3">
        <v>15</v>
      </c>
      <c r="H525" t="s">
        <v>26</v>
      </c>
      <c r="I525">
        <v>4111.93</v>
      </c>
      <c r="J525" s="2">
        <v>4338.67</v>
      </c>
      <c r="K525" t="s">
        <v>17</v>
      </c>
      <c r="L525" s="4">
        <v>0.26</v>
      </c>
      <c r="M525" t="s">
        <v>31</v>
      </c>
      <c r="N525" t="s">
        <v>19</v>
      </c>
      <c r="O525" t="s">
        <v>32</v>
      </c>
    </row>
    <row r="526" spans="1:15" x14ac:dyDescent="0.25">
      <c r="A526" s="3">
        <v>1023</v>
      </c>
      <c r="B526" s="1">
        <v>44952</v>
      </c>
      <c r="C526" t="s">
        <v>24</v>
      </c>
      <c r="D526" t="s">
        <v>15</v>
      </c>
      <c r="E526" s="2">
        <f>Table1[[#This Row],[Quantity_Sold]] * Table1[[#This Row],[Unit_Price]] * (1 - (Table1[[#This Row],[Discount]] / 100))</f>
        <v>83622.519503999996</v>
      </c>
      <c r="F526" s="2">
        <f>Table1[[#This Row],[Quantity_Sold]] * ((Table1[[#This Row],[Unit_Price]] * (1 - (Table1[[#This Row],[Discount]] / 100))) - Table1[[#This Row],[Unit_Cost]])</f>
        <v>11920.599503999987</v>
      </c>
      <c r="G526" s="3">
        <v>36</v>
      </c>
      <c r="H526" t="s">
        <v>29</v>
      </c>
      <c r="I526">
        <v>1991.72</v>
      </c>
      <c r="J526" s="2">
        <v>2329.37</v>
      </c>
      <c r="K526" t="s">
        <v>30</v>
      </c>
      <c r="L526" s="4">
        <v>0.28000000000000003</v>
      </c>
      <c r="M526" t="s">
        <v>31</v>
      </c>
      <c r="N526" t="s">
        <v>22</v>
      </c>
      <c r="O526" t="s">
        <v>45</v>
      </c>
    </row>
    <row r="527" spans="1:15" x14ac:dyDescent="0.25">
      <c r="A527" s="3">
        <v>1010</v>
      </c>
      <c r="B527" s="1">
        <v>44973</v>
      </c>
      <c r="C527" t="s">
        <v>24</v>
      </c>
      <c r="D527" t="s">
        <v>34</v>
      </c>
      <c r="E527" s="2">
        <f>Table1[[#This Row],[Quantity_Sold]] * Table1[[#This Row],[Unit_Price]] * (1 - (Table1[[#This Row],[Discount]] / 100))</f>
        <v>114138.18597399999</v>
      </c>
      <c r="F527" s="2">
        <f>Table1[[#This Row],[Quantity_Sold]] * ((Table1[[#This Row],[Unit_Price]] * (1 - (Table1[[#This Row],[Discount]] / 100))) - Table1[[#This Row],[Unit_Cost]])</f>
        <v>7665.3259739999885</v>
      </c>
      <c r="G527" s="3">
        <v>47</v>
      </c>
      <c r="H527" t="s">
        <v>16</v>
      </c>
      <c r="I527">
        <v>2265.38</v>
      </c>
      <c r="J527" s="2">
        <v>2429.9299999999998</v>
      </c>
      <c r="K527" t="s">
        <v>17</v>
      </c>
      <c r="L527" s="4">
        <v>0.06</v>
      </c>
      <c r="M527" t="s">
        <v>27</v>
      </c>
      <c r="N527" t="s">
        <v>19</v>
      </c>
      <c r="O527" t="s">
        <v>50</v>
      </c>
    </row>
    <row r="528" spans="1:15" x14ac:dyDescent="0.25">
      <c r="A528" s="3">
        <v>1069</v>
      </c>
      <c r="B528" s="1">
        <v>45214</v>
      </c>
      <c r="C528" t="s">
        <v>14</v>
      </c>
      <c r="D528" t="s">
        <v>21</v>
      </c>
      <c r="E528" s="2">
        <f>Table1[[#This Row],[Quantity_Sold]] * Table1[[#This Row],[Unit_Price]] * (1 - (Table1[[#This Row],[Discount]] / 100))</f>
        <v>184127.40279599998</v>
      </c>
      <c r="F528" s="2">
        <f>Table1[[#This Row],[Quantity_Sold]] * ((Table1[[#This Row],[Unit_Price]] * (1 - (Table1[[#This Row],[Discount]] / 100))) - Table1[[#This Row],[Unit_Cost]])</f>
        <v>15605.942796000001</v>
      </c>
      <c r="G528" s="3">
        <v>46</v>
      </c>
      <c r="H528" t="s">
        <v>26</v>
      </c>
      <c r="I528">
        <v>3663.51</v>
      </c>
      <c r="J528" s="2">
        <v>4007.98</v>
      </c>
      <c r="K528" t="s">
        <v>30</v>
      </c>
      <c r="L528" s="4">
        <v>0.13</v>
      </c>
      <c r="M528" t="s">
        <v>18</v>
      </c>
      <c r="N528" t="s">
        <v>19</v>
      </c>
      <c r="O528" t="s">
        <v>23</v>
      </c>
    </row>
    <row r="529" spans="1:15" x14ac:dyDescent="0.25">
      <c r="A529" s="3">
        <v>1100</v>
      </c>
      <c r="B529" s="1">
        <v>45192</v>
      </c>
      <c r="C529" t="s">
        <v>33</v>
      </c>
      <c r="D529" t="s">
        <v>15</v>
      </c>
      <c r="E529" s="2">
        <f>Table1[[#This Row],[Quantity_Sold]] * Table1[[#This Row],[Unit_Price]] * (1 - (Table1[[#This Row],[Discount]] / 100))</f>
        <v>42848.999424000001</v>
      </c>
      <c r="F529" s="2">
        <f>Table1[[#This Row],[Quantity_Sold]] * ((Table1[[#This Row],[Unit_Price]] * (1 - (Table1[[#This Row],[Discount]] / 100))) - Table1[[#This Row],[Unit_Cost]])</f>
        <v>8252.0894240000016</v>
      </c>
      <c r="G529" s="3">
        <v>19</v>
      </c>
      <c r="H529" t="s">
        <v>35</v>
      </c>
      <c r="I529">
        <v>1820.89</v>
      </c>
      <c r="J529" s="2">
        <v>2257.92</v>
      </c>
      <c r="K529" t="s">
        <v>30</v>
      </c>
      <c r="L529" s="4">
        <v>0.12</v>
      </c>
      <c r="M529" t="s">
        <v>18</v>
      </c>
      <c r="N529" t="s">
        <v>22</v>
      </c>
      <c r="O529" t="s">
        <v>53</v>
      </c>
    </row>
    <row r="530" spans="1:15" x14ac:dyDescent="0.25">
      <c r="A530" s="3">
        <v>1034</v>
      </c>
      <c r="B530" s="1">
        <v>44942</v>
      </c>
      <c r="C530" t="s">
        <v>42</v>
      </c>
      <c r="D530" t="s">
        <v>15</v>
      </c>
      <c r="E530" s="2">
        <f>Table1[[#This Row],[Quantity_Sold]] * Table1[[#This Row],[Unit_Price]] * (1 - (Table1[[#This Row],[Discount]] / 100))</f>
        <v>6397.154192</v>
      </c>
      <c r="F530" s="2">
        <f>Table1[[#This Row],[Quantity_Sold]] * ((Table1[[#This Row],[Unit_Price]] * (1 - (Table1[[#This Row],[Discount]] / 100))) - Table1[[#This Row],[Unit_Cost]])</f>
        <v>1635.1241920000004</v>
      </c>
      <c r="G530" s="3">
        <v>13</v>
      </c>
      <c r="H530" t="s">
        <v>16</v>
      </c>
      <c r="I530">
        <v>366.31</v>
      </c>
      <c r="J530" s="2">
        <v>492.68</v>
      </c>
      <c r="K530" t="s">
        <v>30</v>
      </c>
      <c r="L530" s="4">
        <v>0.12</v>
      </c>
      <c r="M530" t="s">
        <v>31</v>
      </c>
      <c r="N530" t="s">
        <v>22</v>
      </c>
      <c r="O530" t="s">
        <v>49</v>
      </c>
    </row>
    <row r="531" spans="1:15" x14ac:dyDescent="0.25">
      <c r="A531" s="3">
        <v>1052</v>
      </c>
      <c r="B531" s="1">
        <v>45125</v>
      </c>
      <c r="C531" t="s">
        <v>38</v>
      </c>
      <c r="D531" t="s">
        <v>25</v>
      </c>
      <c r="E531" s="2">
        <f>Table1[[#This Row],[Quantity_Sold]] * Table1[[#This Row],[Unit_Price]] * (1 - (Table1[[#This Row],[Discount]] / 100))</f>
        <v>38105.211816000003</v>
      </c>
      <c r="F531" s="2">
        <f>Table1[[#This Row],[Quantity_Sold]] * ((Table1[[#This Row],[Unit_Price]] * (1 - (Table1[[#This Row],[Discount]] / 100))) - Table1[[#This Row],[Unit_Cost]])</f>
        <v>20550.891816000003</v>
      </c>
      <c r="G531" s="3">
        <v>42</v>
      </c>
      <c r="H531" t="s">
        <v>35</v>
      </c>
      <c r="I531">
        <v>417.96</v>
      </c>
      <c r="J531" s="2">
        <v>907.63</v>
      </c>
      <c r="K531" t="s">
        <v>30</v>
      </c>
      <c r="L531" s="4">
        <v>0.04</v>
      </c>
      <c r="M531" t="s">
        <v>18</v>
      </c>
      <c r="N531" t="s">
        <v>22</v>
      </c>
      <c r="O531" t="s">
        <v>39</v>
      </c>
    </row>
    <row r="532" spans="1:15" x14ac:dyDescent="0.25">
      <c r="A532" s="3">
        <v>1095</v>
      </c>
      <c r="B532" s="1">
        <v>45208</v>
      </c>
      <c r="C532" t="s">
        <v>24</v>
      </c>
      <c r="D532" t="s">
        <v>15</v>
      </c>
      <c r="E532" s="2">
        <f>Table1[[#This Row],[Quantity_Sold]] * Table1[[#This Row],[Unit_Price]] * (1 - (Table1[[#This Row],[Discount]] / 100))</f>
        <v>17186.42335199998</v>
      </c>
      <c r="F532" s="2">
        <f>Table1[[#This Row],[Quantity_Sold]] * ((Table1[[#This Row],[Unit_Price]] * (1 - (Table1[[#This Row],[Discount]] / 100))) - Table1[[#This Row],[Unit_Cost]])</f>
        <v>4144.3733519999796</v>
      </c>
      <c r="G532" s="3">
        <v>21</v>
      </c>
      <c r="H532" t="s">
        <v>29</v>
      </c>
      <c r="I532">
        <v>621.04999999999995</v>
      </c>
      <c r="J532" s="2">
        <v>820.36999999999898</v>
      </c>
      <c r="K532" t="s">
        <v>17</v>
      </c>
      <c r="L532" s="4">
        <v>0.24</v>
      </c>
      <c r="M532" t="s">
        <v>27</v>
      </c>
      <c r="N532" t="s">
        <v>19</v>
      </c>
      <c r="O532" t="s">
        <v>45</v>
      </c>
    </row>
    <row r="533" spans="1:15" x14ac:dyDescent="0.25">
      <c r="A533" s="3">
        <v>1010</v>
      </c>
      <c r="B533" s="1">
        <v>45012</v>
      </c>
      <c r="C533" t="s">
        <v>38</v>
      </c>
      <c r="D533" t="s">
        <v>25</v>
      </c>
      <c r="E533" s="2">
        <f>Table1[[#This Row],[Quantity_Sold]] * Table1[[#This Row],[Unit_Price]] * (1 - (Table1[[#This Row],[Discount]] / 100))</f>
        <v>166330.92524400001</v>
      </c>
      <c r="F533" s="2">
        <f>Table1[[#This Row],[Quantity_Sold]] * ((Table1[[#This Row],[Unit_Price]] * (1 - (Table1[[#This Row],[Discount]] / 100))) - Table1[[#This Row],[Unit_Cost]])</f>
        <v>5198.8852439999864</v>
      </c>
      <c r="G533" s="3">
        <v>37</v>
      </c>
      <c r="H533" t="s">
        <v>29</v>
      </c>
      <c r="I533">
        <v>4354.92</v>
      </c>
      <c r="J533" s="2">
        <v>4495.88</v>
      </c>
      <c r="K533" t="s">
        <v>17</v>
      </c>
      <c r="L533" s="4">
        <v>0.01</v>
      </c>
      <c r="M533" t="s">
        <v>27</v>
      </c>
      <c r="N533" t="s">
        <v>19</v>
      </c>
      <c r="O533" t="s">
        <v>39</v>
      </c>
    </row>
    <row r="534" spans="1:15" x14ac:dyDescent="0.25">
      <c r="A534" s="3">
        <v>1019</v>
      </c>
      <c r="B534" s="1">
        <v>45176</v>
      </c>
      <c r="C534" t="s">
        <v>14</v>
      </c>
      <c r="D534" t="s">
        <v>21</v>
      </c>
      <c r="E534" s="2">
        <f>Table1[[#This Row],[Quantity_Sold]] * Table1[[#This Row],[Unit_Price]] * (1 - (Table1[[#This Row],[Discount]] / 100))</f>
        <v>70197.124607999998</v>
      </c>
      <c r="F534" s="2">
        <f>Table1[[#This Row],[Quantity_Sold]] * ((Table1[[#This Row],[Unit_Price]] * (1 - (Table1[[#This Row],[Discount]] / 100))) - Table1[[#This Row],[Unit_Cost]])</f>
        <v>5734.0846079999919</v>
      </c>
      <c r="G534" s="3">
        <v>27</v>
      </c>
      <c r="H534" t="s">
        <v>35</v>
      </c>
      <c r="I534">
        <v>2387.52</v>
      </c>
      <c r="J534" s="2">
        <v>2604.06</v>
      </c>
      <c r="K534" t="s">
        <v>17</v>
      </c>
      <c r="L534" s="4">
        <v>0.16</v>
      </c>
      <c r="M534" t="s">
        <v>18</v>
      </c>
      <c r="N534" t="s">
        <v>19</v>
      </c>
      <c r="O534" t="s">
        <v>23</v>
      </c>
    </row>
    <row r="535" spans="1:15" x14ac:dyDescent="0.25">
      <c r="A535" s="3">
        <v>1058</v>
      </c>
      <c r="B535" s="1">
        <v>45196</v>
      </c>
      <c r="C535" t="s">
        <v>38</v>
      </c>
      <c r="D535" t="s">
        <v>21</v>
      </c>
      <c r="E535" s="2">
        <f>Table1[[#This Row],[Quantity_Sold]] * Table1[[#This Row],[Unit_Price]] * (1 - (Table1[[#This Row],[Discount]] / 100))</f>
        <v>105204.74884</v>
      </c>
      <c r="F535" s="2">
        <f>Table1[[#This Row],[Quantity_Sold]] * ((Table1[[#This Row],[Unit_Price]] * (1 - (Table1[[#This Row],[Discount]] / 100))) - Table1[[#This Row],[Unit_Cost]])</f>
        <v>1420.4188400000035</v>
      </c>
      <c r="G535" s="3">
        <v>29</v>
      </c>
      <c r="H535" t="s">
        <v>35</v>
      </c>
      <c r="I535">
        <v>3578.77</v>
      </c>
      <c r="J535" s="2">
        <v>3635.02</v>
      </c>
      <c r="K535" t="s">
        <v>30</v>
      </c>
      <c r="L535" s="4">
        <v>0.2</v>
      </c>
      <c r="M535" t="s">
        <v>27</v>
      </c>
      <c r="N535" t="s">
        <v>22</v>
      </c>
      <c r="O535" t="s">
        <v>41</v>
      </c>
    </row>
    <row r="536" spans="1:15" x14ac:dyDescent="0.25">
      <c r="A536" s="3">
        <v>1096</v>
      </c>
      <c r="B536" s="1">
        <v>45261</v>
      </c>
      <c r="C536" t="s">
        <v>14</v>
      </c>
      <c r="D536" t="s">
        <v>34</v>
      </c>
      <c r="E536" s="2">
        <f>Table1[[#This Row],[Quantity_Sold]] * Table1[[#This Row],[Unit_Price]] * (1 - (Table1[[#This Row],[Discount]] / 100))</f>
        <v>41305.201999999997</v>
      </c>
      <c r="F536" s="2">
        <f>Table1[[#This Row],[Quantity_Sold]] * ((Table1[[#This Row],[Unit_Price]] * (1 - (Table1[[#This Row],[Discount]] / 100))) - Table1[[#This Row],[Unit_Cost]])</f>
        <v>1407.2019999999975</v>
      </c>
      <c r="G536" s="3">
        <v>20</v>
      </c>
      <c r="H536" t="s">
        <v>16</v>
      </c>
      <c r="I536">
        <v>1994.9</v>
      </c>
      <c r="J536" s="2">
        <v>2066.5</v>
      </c>
      <c r="K536" t="s">
        <v>17</v>
      </c>
      <c r="L536" s="4">
        <v>0.06</v>
      </c>
      <c r="M536" t="s">
        <v>27</v>
      </c>
      <c r="N536" t="s">
        <v>19</v>
      </c>
      <c r="O536" t="s">
        <v>46</v>
      </c>
    </row>
    <row r="537" spans="1:15" x14ac:dyDescent="0.25">
      <c r="A537" s="3">
        <v>1001</v>
      </c>
      <c r="B537" s="1">
        <v>45043</v>
      </c>
      <c r="C537" t="s">
        <v>38</v>
      </c>
      <c r="D537" t="s">
        <v>34</v>
      </c>
      <c r="E537" s="2">
        <f>Table1[[#This Row],[Quantity_Sold]] * Table1[[#This Row],[Unit_Price]] * (1 - (Table1[[#This Row],[Discount]] / 100))</f>
        <v>38488.050924999749</v>
      </c>
      <c r="F537" s="2">
        <f>Table1[[#This Row],[Quantity_Sold]] * ((Table1[[#This Row],[Unit_Price]] * (1 - (Table1[[#This Row],[Discount]] / 100))) - Table1[[#This Row],[Unit_Cost]])</f>
        <v>5222.5509249997513</v>
      </c>
      <c r="G537" s="3">
        <v>25</v>
      </c>
      <c r="H537" t="s">
        <v>35</v>
      </c>
      <c r="I537">
        <v>1330.62</v>
      </c>
      <c r="J537" s="2">
        <v>1543.6899999999901</v>
      </c>
      <c r="K537" t="s">
        <v>30</v>
      </c>
      <c r="L537" s="4">
        <v>0.27</v>
      </c>
      <c r="M537" t="s">
        <v>31</v>
      </c>
      <c r="N537" t="s">
        <v>19</v>
      </c>
      <c r="O537" t="s">
        <v>48</v>
      </c>
    </row>
    <row r="538" spans="1:15" x14ac:dyDescent="0.25">
      <c r="A538" s="3">
        <v>1069</v>
      </c>
      <c r="B538" s="1">
        <v>44933</v>
      </c>
      <c r="C538" t="s">
        <v>42</v>
      </c>
      <c r="D538" t="s">
        <v>34</v>
      </c>
      <c r="E538" s="2">
        <f>Table1[[#This Row],[Quantity_Sold]] * Table1[[#This Row],[Unit_Price]] * (1 - (Table1[[#This Row],[Discount]] / 100))</f>
        <v>12880.916999999999</v>
      </c>
      <c r="F538" s="2">
        <f>Table1[[#This Row],[Quantity_Sold]] * ((Table1[[#This Row],[Unit_Price]] * (1 - (Table1[[#This Row],[Discount]] / 100))) - Table1[[#This Row],[Unit_Cost]])</f>
        <v>2269.3170000000009</v>
      </c>
      <c r="G538" s="3">
        <v>6</v>
      </c>
      <c r="H538" t="s">
        <v>26</v>
      </c>
      <c r="I538">
        <v>1768.6</v>
      </c>
      <c r="J538" s="2">
        <v>2152.1999999999998</v>
      </c>
      <c r="K538" t="s">
        <v>30</v>
      </c>
      <c r="L538" s="4">
        <v>0.25</v>
      </c>
      <c r="M538" t="s">
        <v>27</v>
      </c>
      <c r="N538" t="s">
        <v>22</v>
      </c>
      <c r="O538" t="s">
        <v>52</v>
      </c>
    </row>
    <row r="539" spans="1:15" x14ac:dyDescent="0.25">
      <c r="A539" s="3">
        <v>1004</v>
      </c>
      <c r="B539" s="1">
        <v>45063</v>
      </c>
      <c r="C539" t="s">
        <v>42</v>
      </c>
      <c r="D539" t="s">
        <v>15</v>
      </c>
      <c r="E539" s="2">
        <f>Table1[[#This Row],[Quantity_Sold]] * Table1[[#This Row],[Unit_Price]] * (1 - (Table1[[#This Row],[Discount]] / 100))</f>
        <v>159341.20955999967</v>
      </c>
      <c r="F539" s="2">
        <f>Table1[[#This Row],[Quantity_Sold]] * ((Table1[[#This Row],[Unit_Price]] * (1 - (Table1[[#This Row],[Discount]] / 100))) - Table1[[#This Row],[Unit_Cost]])</f>
        <v>16018.009559999664</v>
      </c>
      <c r="G539" s="3">
        <v>36</v>
      </c>
      <c r="H539" t="s">
        <v>26</v>
      </c>
      <c r="I539">
        <v>3981.2</v>
      </c>
      <c r="J539" s="2">
        <v>4432.3499999999904</v>
      </c>
      <c r="K539" t="s">
        <v>30</v>
      </c>
      <c r="L539" s="4">
        <v>0.14000000000000001</v>
      </c>
      <c r="M539" t="s">
        <v>18</v>
      </c>
      <c r="N539" t="s">
        <v>19</v>
      </c>
      <c r="O539" t="s">
        <v>49</v>
      </c>
    </row>
    <row r="540" spans="1:15" x14ac:dyDescent="0.25">
      <c r="A540" s="3">
        <v>1016</v>
      </c>
      <c r="B540" s="1">
        <v>45102</v>
      </c>
      <c r="C540" t="s">
        <v>42</v>
      </c>
      <c r="D540" t="s">
        <v>21</v>
      </c>
      <c r="E540" s="2">
        <f>Table1[[#This Row],[Quantity_Sold]] * Table1[[#This Row],[Unit_Price]] * (1 - (Table1[[#This Row],[Discount]] / 100))</f>
        <v>6952.8066079999999</v>
      </c>
      <c r="F540" s="2">
        <f>Table1[[#This Row],[Quantity_Sold]] * ((Table1[[#This Row],[Unit_Price]] * (1 - (Table1[[#This Row],[Discount]] / 100))) - Table1[[#This Row],[Unit_Cost]])</f>
        <v>663.16660799999954</v>
      </c>
      <c r="G540" s="3">
        <v>2</v>
      </c>
      <c r="H540" t="s">
        <v>35</v>
      </c>
      <c r="I540">
        <v>3144.82</v>
      </c>
      <c r="J540" s="2">
        <v>3480.58</v>
      </c>
      <c r="K540" t="s">
        <v>17</v>
      </c>
      <c r="L540" s="4">
        <v>0.12</v>
      </c>
      <c r="M540" t="s">
        <v>18</v>
      </c>
      <c r="N540" t="s">
        <v>22</v>
      </c>
      <c r="O540" t="s">
        <v>51</v>
      </c>
    </row>
    <row r="541" spans="1:15" x14ac:dyDescent="0.25">
      <c r="A541" s="3">
        <v>1024</v>
      </c>
      <c r="B541" s="1">
        <v>45254</v>
      </c>
      <c r="C541" t="s">
        <v>42</v>
      </c>
      <c r="D541" t="s">
        <v>25</v>
      </c>
      <c r="E541" s="2">
        <f>Table1[[#This Row],[Quantity_Sold]] * Table1[[#This Row],[Unit_Price]] * (1 - (Table1[[#This Row],[Discount]] / 100))</f>
        <v>104490.16564799999</v>
      </c>
      <c r="F541" s="2">
        <f>Table1[[#This Row],[Quantity_Sold]] * ((Table1[[#This Row],[Unit_Price]] * (1 - (Table1[[#This Row],[Discount]] / 100))) - Table1[[#This Row],[Unit_Cost]])</f>
        <v>1281.1256480000047</v>
      </c>
      <c r="G541" s="3">
        <v>22</v>
      </c>
      <c r="H541" t="s">
        <v>26</v>
      </c>
      <c r="I541">
        <v>4691.32</v>
      </c>
      <c r="J541" s="2">
        <v>4752.88</v>
      </c>
      <c r="K541" t="s">
        <v>17</v>
      </c>
      <c r="L541" s="4">
        <v>7.0000000000000007E-2</v>
      </c>
      <c r="M541" t="s">
        <v>27</v>
      </c>
      <c r="N541" t="s">
        <v>22</v>
      </c>
      <c r="O541" t="s">
        <v>43</v>
      </c>
    </row>
    <row r="542" spans="1:15" x14ac:dyDescent="0.25">
      <c r="A542" s="3">
        <v>1080</v>
      </c>
      <c r="B542" s="1">
        <v>45241</v>
      </c>
      <c r="C542" t="s">
        <v>42</v>
      </c>
      <c r="D542" t="s">
        <v>34</v>
      </c>
      <c r="E542" s="2">
        <f>Table1[[#This Row],[Quantity_Sold]] * Table1[[#This Row],[Unit_Price]] * (1 - (Table1[[#This Row],[Discount]] / 100))</f>
        <v>119858.290368</v>
      </c>
      <c r="F542" s="2">
        <f>Table1[[#This Row],[Quantity_Sold]] * ((Table1[[#This Row],[Unit_Price]] * (1 - (Table1[[#This Row],[Discount]] / 100))) - Table1[[#This Row],[Unit_Cost]])</f>
        <v>10593.010368000003</v>
      </c>
      <c r="G542" s="3">
        <v>32</v>
      </c>
      <c r="H542" t="s">
        <v>35</v>
      </c>
      <c r="I542">
        <v>3414.54</v>
      </c>
      <c r="J542" s="2">
        <v>3753.83</v>
      </c>
      <c r="K542" t="s">
        <v>30</v>
      </c>
      <c r="L542" s="4">
        <v>0.22</v>
      </c>
      <c r="M542" t="s">
        <v>18</v>
      </c>
      <c r="N542" t="s">
        <v>22</v>
      </c>
      <c r="O542" t="s">
        <v>52</v>
      </c>
    </row>
    <row r="543" spans="1:15" x14ac:dyDescent="0.25">
      <c r="A543" s="3">
        <v>1002</v>
      </c>
      <c r="B543" s="1">
        <v>45141</v>
      </c>
      <c r="C543" t="s">
        <v>42</v>
      </c>
      <c r="D543" t="s">
        <v>25</v>
      </c>
      <c r="E543" s="2">
        <f>Table1[[#This Row],[Quantity_Sold]] * Table1[[#This Row],[Unit_Price]] * (1 - (Table1[[#This Row],[Discount]] / 100))</f>
        <v>51079.719936000009</v>
      </c>
      <c r="F543" s="2">
        <f>Table1[[#This Row],[Quantity_Sold]] * ((Table1[[#This Row],[Unit_Price]] * (1 - (Table1[[#This Row],[Discount]] / 100))) - Table1[[#This Row],[Unit_Cost]])</f>
        <v>5121.3199360000071</v>
      </c>
      <c r="G543" s="3">
        <v>16</v>
      </c>
      <c r="H543" t="s">
        <v>16</v>
      </c>
      <c r="I543">
        <v>2872.4</v>
      </c>
      <c r="J543" s="2">
        <v>3193.76</v>
      </c>
      <c r="K543" t="s">
        <v>17</v>
      </c>
      <c r="L543" s="4">
        <v>0.04</v>
      </c>
      <c r="M543" t="s">
        <v>31</v>
      </c>
      <c r="N543" t="s">
        <v>19</v>
      </c>
      <c r="O543" t="s">
        <v>43</v>
      </c>
    </row>
    <row r="544" spans="1:15" x14ac:dyDescent="0.25">
      <c r="A544" s="3">
        <v>1092</v>
      </c>
      <c r="B544" s="1">
        <v>45008</v>
      </c>
      <c r="C544" t="s">
        <v>14</v>
      </c>
      <c r="D544" t="s">
        <v>25</v>
      </c>
      <c r="E544" s="2">
        <f>Table1[[#This Row],[Quantity_Sold]] * Table1[[#This Row],[Unit_Price]] * (1 - (Table1[[#This Row],[Discount]] / 100))</f>
        <v>62430.109560000004</v>
      </c>
      <c r="F544" s="2">
        <f>Table1[[#This Row],[Quantity_Sold]] * ((Table1[[#This Row],[Unit_Price]] * (1 - (Table1[[#This Row],[Discount]] / 100))) - Table1[[#This Row],[Unit_Cost]])</f>
        <v>7161.6495599999998</v>
      </c>
      <c r="G544" s="3">
        <v>18</v>
      </c>
      <c r="H544" t="s">
        <v>26</v>
      </c>
      <c r="I544">
        <v>3070.47</v>
      </c>
      <c r="J544" s="2">
        <v>3475.29</v>
      </c>
      <c r="K544" t="s">
        <v>17</v>
      </c>
      <c r="L544" s="4">
        <v>0.2</v>
      </c>
      <c r="M544" t="s">
        <v>27</v>
      </c>
      <c r="N544" t="s">
        <v>19</v>
      </c>
      <c r="O544" t="s">
        <v>32</v>
      </c>
    </row>
    <row r="545" spans="1:15" x14ac:dyDescent="0.25">
      <c r="A545" s="3">
        <v>1032</v>
      </c>
      <c r="B545" s="1">
        <v>45149</v>
      </c>
      <c r="C545" t="s">
        <v>24</v>
      </c>
      <c r="D545" t="s">
        <v>34</v>
      </c>
      <c r="E545" s="2">
        <f>Table1[[#This Row],[Quantity_Sold]] * Table1[[#This Row],[Unit_Price]] * (1 - (Table1[[#This Row],[Discount]] / 100))</f>
        <v>25581.436125</v>
      </c>
      <c r="F545" s="2">
        <f>Table1[[#This Row],[Quantity_Sold]] * ((Table1[[#This Row],[Unit_Price]] * (1 - (Table1[[#This Row],[Discount]] / 100))) - Table1[[#This Row],[Unit_Cost]])</f>
        <v>2007.7361250000013</v>
      </c>
      <c r="G545" s="3">
        <v>5</v>
      </c>
      <c r="H545" t="s">
        <v>26</v>
      </c>
      <c r="I545">
        <v>4714.74</v>
      </c>
      <c r="J545" s="2">
        <v>5129.1099999999997</v>
      </c>
      <c r="K545" t="s">
        <v>30</v>
      </c>
      <c r="L545" s="4">
        <v>0.25</v>
      </c>
      <c r="M545" t="s">
        <v>27</v>
      </c>
      <c r="N545" t="s">
        <v>19</v>
      </c>
      <c r="O545" t="s">
        <v>50</v>
      </c>
    </row>
    <row r="546" spans="1:15" x14ac:dyDescent="0.25">
      <c r="A546" s="3">
        <v>1091</v>
      </c>
      <c r="B546" s="1">
        <v>45029</v>
      </c>
      <c r="C546" t="s">
        <v>38</v>
      </c>
      <c r="D546" t="s">
        <v>21</v>
      </c>
      <c r="E546" s="2">
        <f>Table1[[#This Row],[Quantity_Sold]] * Table1[[#This Row],[Unit_Price]] * (1 - (Table1[[#This Row],[Discount]] / 100))</f>
        <v>157821.807348</v>
      </c>
      <c r="F546" s="2">
        <f>Table1[[#This Row],[Quantity_Sold]] * ((Table1[[#This Row],[Unit_Price]] * (1 - (Table1[[#This Row],[Discount]] / 100))) - Table1[[#This Row],[Unit_Cost]])</f>
        <v>15564.567347999993</v>
      </c>
      <c r="G546" s="3">
        <v>36</v>
      </c>
      <c r="H546" t="s">
        <v>35</v>
      </c>
      <c r="I546">
        <v>3951.59</v>
      </c>
      <c r="J546" s="2">
        <v>4387.01</v>
      </c>
      <c r="K546" t="s">
        <v>30</v>
      </c>
      <c r="L546" s="4">
        <v>7.0000000000000007E-2</v>
      </c>
      <c r="M546" t="s">
        <v>27</v>
      </c>
      <c r="N546" t="s">
        <v>22</v>
      </c>
      <c r="O546" t="s">
        <v>41</v>
      </c>
    </row>
    <row r="547" spans="1:15" x14ac:dyDescent="0.25">
      <c r="A547" s="3">
        <v>1084</v>
      </c>
      <c r="B547" s="1">
        <v>45199</v>
      </c>
      <c r="C547" t="s">
        <v>42</v>
      </c>
      <c r="D547" t="s">
        <v>34</v>
      </c>
      <c r="E547" s="2">
        <f>Table1[[#This Row],[Quantity_Sold]] * Table1[[#This Row],[Unit_Price]] * (1 - (Table1[[#This Row],[Discount]] / 100))</f>
        <v>11427.81023999997</v>
      </c>
      <c r="F547" s="2">
        <f>Table1[[#This Row],[Quantity_Sold]] * ((Table1[[#This Row],[Unit_Price]] * (1 - (Table1[[#This Row],[Discount]] / 100))) - Table1[[#This Row],[Unit_Cost]])</f>
        <v>6357.8102399999698</v>
      </c>
      <c r="G547" s="3">
        <v>30</v>
      </c>
      <c r="H547" t="s">
        <v>26</v>
      </c>
      <c r="I547">
        <v>169</v>
      </c>
      <c r="J547" s="2">
        <v>381.91999999999899</v>
      </c>
      <c r="K547" t="s">
        <v>17</v>
      </c>
      <c r="L547" s="4">
        <v>0.26</v>
      </c>
      <c r="M547" t="s">
        <v>18</v>
      </c>
      <c r="N547" t="s">
        <v>22</v>
      </c>
      <c r="O547" t="s">
        <v>52</v>
      </c>
    </row>
    <row r="548" spans="1:15" x14ac:dyDescent="0.25">
      <c r="A548" s="3">
        <v>1024</v>
      </c>
      <c r="B548" s="1">
        <v>44940</v>
      </c>
      <c r="C548" t="s">
        <v>14</v>
      </c>
      <c r="D548" t="s">
        <v>25</v>
      </c>
      <c r="E548" s="2">
        <f>Table1[[#This Row],[Quantity_Sold]] * Table1[[#This Row],[Unit_Price]] * (1 - (Table1[[#This Row],[Discount]] / 100))</f>
        <v>137053.59326999955</v>
      </c>
      <c r="F548" s="2">
        <f>Table1[[#This Row],[Quantity_Sold]] * ((Table1[[#This Row],[Unit_Price]] * (1 - (Table1[[#This Row],[Discount]] / 100))) - Table1[[#This Row],[Unit_Cost]])</f>
        <v>15824.043269999554</v>
      </c>
      <c r="G548" s="3">
        <v>45</v>
      </c>
      <c r="H548" t="s">
        <v>29</v>
      </c>
      <c r="I548">
        <v>2693.99</v>
      </c>
      <c r="J548" s="2">
        <v>3045.9399999999901</v>
      </c>
      <c r="K548" t="s">
        <v>30</v>
      </c>
      <c r="L548" s="4">
        <v>0.01</v>
      </c>
      <c r="M548" t="s">
        <v>18</v>
      </c>
      <c r="N548" t="s">
        <v>22</v>
      </c>
      <c r="O548" t="s">
        <v>32</v>
      </c>
    </row>
    <row r="549" spans="1:15" x14ac:dyDescent="0.25">
      <c r="A549" s="3">
        <v>1012</v>
      </c>
      <c r="B549" s="1">
        <v>45085</v>
      </c>
      <c r="C549" t="s">
        <v>14</v>
      </c>
      <c r="D549" t="s">
        <v>34</v>
      </c>
      <c r="E549" s="2">
        <f>Table1[[#This Row],[Quantity_Sold]] * Table1[[#This Row],[Unit_Price]] * (1 - (Table1[[#This Row],[Discount]] / 100))</f>
        <v>68191.065663999994</v>
      </c>
      <c r="F549" s="2">
        <f>Table1[[#This Row],[Quantity_Sold]] * ((Table1[[#This Row],[Unit_Price]] * (1 - (Table1[[#This Row],[Discount]] / 100))) - Table1[[#This Row],[Unit_Cost]])</f>
        <v>2502.7456639999859</v>
      </c>
      <c r="G549" s="3">
        <v>19</v>
      </c>
      <c r="H549" t="s">
        <v>16</v>
      </c>
      <c r="I549">
        <v>3457.28</v>
      </c>
      <c r="J549" s="2">
        <v>3598.72</v>
      </c>
      <c r="K549" t="s">
        <v>30</v>
      </c>
      <c r="L549" s="4">
        <v>0.27</v>
      </c>
      <c r="M549" t="s">
        <v>27</v>
      </c>
      <c r="N549" t="s">
        <v>19</v>
      </c>
      <c r="O549" t="s">
        <v>46</v>
      </c>
    </row>
    <row r="550" spans="1:15" x14ac:dyDescent="0.25">
      <c r="A550" s="3">
        <v>1050</v>
      </c>
      <c r="B550" s="1">
        <v>45078</v>
      </c>
      <c r="C550" t="s">
        <v>14</v>
      </c>
      <c r="D550" t="s">
        <v>25</v>
      </c>
      <c r="E550" s="2">
        <f>Table1[[#This Row],[Quantity_Sold]] * Table1[[#This Row],[Unit_Price]] * (1 - (Table1[[#This Row],[Discount]] / 100))</f>
        <v>97842.637283999997</v>
      </c>
      <c r="F550" s="2">
        <f>Table1[[#This Row],[Quantity_Sold]] * ((Table1[[#This Row],[Unit_Price]] * (1 - (Table1[[#This Row],[Discount]] / 100))) - Table1[[#This Row],[Unit_Cost]])</f>
        <v>11453.257283999992</v>
      </c>
      <c r="G550" s="3">
        <v>23</v>
      </c>
      <c r="H550" t="s">
        <v>16</v>
      </c>
      <c r="I550">
        <v>3756.06</v>
      </c>
      <c r="J550" s="2">
        <v>4255.7299999999996</v>
      </c>
      <c r="K550" t="s">
        <v>17</v>
      </c>
      <c r="L550" s="4">
        <v>0.04</v>
      </c>
      <c r="M550" t="s">
        <v>18</v>
      </c>
      <c r="N550" t="s">
        <v>19</v>
      </c>
      <c r="O550" t="s">
        <v>32</v>
      </c>
    </row>
    <row r="551" spans="1:15" x14ac:dyDescent="0.25">
      <c r="A551" s="3">
        <v>1035</v>
      </c>
      <c r="B551" s="1">
        <v>45034</v>
      </c>
      <c r="C551" t="s">
        <v>24</v>
      </c>
      <c r="D551" t="s">
        <v>25</v>
      </c>
      <c r="E551" s="2">
        <f>Table1[[#This Row],[Quantity_Sold]] * Table1[[#This Row],[Unit_Price]] * (1 - (Table1[[#This Row],[Discount]] / 100))</f>
        <v>40755.057983999999</v>
      </c>
      <c r="F551" s="2">
        <f>Table1[[#This Row],[Quantity_Sold]] * ((Table1[[#This Row],[Unit_Price]] * (1 - (Table1[[#This Row],[Discount]] / 100))) - Table1[[#This Row],[Unit_Cost]])</f>
        <v>3183.3579840000057</v>
      </c>
      <c r="G551" s="3">
        <v>34</v>
      </c>
      <c r="H551" t="s">
        <v>26</v>
      </c>
      <c r="I551">
        <v>1105.05</v>
      </c>
      <c r="J551" s="2">
        <v>1200.96</v>
      </c>
      <c r="K551" t="s">
        <v>17</v>
      </c>
      <c r="L551" s="4">
        <v>0.19</v>
      </c>
      <c r="M551" t="s">
        <v>18</v>
      </c>
      <c r="N551" t="s">
        <v>19</v>
      </c>
      <c r="O551" t="s">
        <v>28</v>
      </c>
    </row>
    <row r="552" spans="1:15" x14ac:dyDescent="0.25">
      <c r="A552" s="3">
        <v>1033</v>
      </c>
      <c r="B552" s="1">
        <v>45114</v>
      </c>
      <c r="C552" t="s">
        <v>38</v>
      </c>
      <c r="D552" t="s">
        <v>34</v>
      </c>
      <c r="E552" s="2">
        <f>Table1[[#This Row],[Quantity_Sold]] * Table1[[#This Row],[Unit_Price]] * (1 - (Table1[[#This Row],[Discount]] / 100))</f>
        <v>56602.052103999995</v>
      </c>
      <c r="F552" s="2">
        <f>Table1[[#This Row],[Quantity_Sold]] * ((Table1[[#This Row],[Unit_Price]] * (1 - (Table1[[#This Row],[Discount]] / 100))) - Table1[[#This Row],[Unit_Cost]])</f>
        <v>149.16210400000182</v>
      </c>
      <c r="G552" s="3">
        <v>13</v>
      </c>
      <c r="H552" t="s">
        <v>26</v>
      </c>
      <c r="I552">
        <v>4342.53</v>
      </c>
      <c r="J552" s="2">
        <v>4357.49</v>
      </c>
      <c r="K552" t="s">
        <v>30</v>
      </c>
      <c r="L552" s="4">
        <v>0.08</v>
      </c>
      <c r="M552" t="s">
        <v>27</v>
      </c>
      <c r="N552" t="s">
        <v>19</v>
      </c>
      <c r="O552" t="s">
        <v>48</v>
      </c>
    </row>
    <row r="553" spans="1:15" x14ac:dyDescent="0.25">
      <c r="A553" s="3">
        <v>1033</v>
      </c>
      <c r="B553" s="1">
        <v>45227</v>
      </c>
      <c r="C553" t="s">
        <v>24</v>
      </c>
      <c r="D553" t="s">
        <v>15</v>
      </c>
      <c r="E553" s="2">
        <f>Table1[[#This Row],[Quantity_Sold]] * Table1[[#This Row],[Unit_Price]] * (1 - (Table1[[#This Row],[Discount]] / 100))</f>
        <v>208643.70345</v>
      </c>
      <c r="F553" s="2">
        <f>Table1[[#This Row],[Quantity_Sold]] * ((Table1[[#This Row],[Unit_Price]] * (1 - (Table1[[#This Row],[Discount]] / 100))) - Table1[[#This Row],[Unit_Cost]])</f>
        <v>3042.6434500000332</v>
      </c>
      <c r="G553" s="3">
        <v>43</v>
      </c>
      <c r="H553" t="s">
        <v>29</v>
      </c>
      <c r="I553">
        <v>4781.42</v>
      </c>
      <c r="J553" s="2">
        <v>4864.34</v>
      </c>
      <c r="K553" t="s">
        <v>17</v>
      </c>
      <c r="L553" s="4">
        <v>0.25</v>
      </c>
      <c r="M553" t="s">
        <v>27</v>
      </c>
      <c r="N553" t="s">
        <v>19</v>
      </c>
      <c r="O553" t="s">
        <v>45</v>
      </c>
    </row>
    <row r="554" spans="1:15" x14ac:dyDescent="0.25">
      <c r="A554" s="3">
        <v>1061</v>
      </c>
      <c r="B554" s="1">
        <v>45024</v>
      </c>
      <c r="C554" t="s">
        <v>33</v>
      </c>
      <c r="D554" t="s">
        <v>34</v>
      </c>
      <c r="E554" s="2">
        <f>Table1[[#This Row],[Quantity_Sold]] * Table1[[#This Row],[Unit_Price]] * (1 - (Table1[[#This Row],[Discount]] / 100))</f>
        <v>46675.561480000004</v>
      </c>
      <c r="F554" s="2">
        <f>Table1[[#This Row],[Quantity_Sold]] * ((Table1[[#This Row],[Unit_Price]] * (1 - (Table1[[#This Row],[Discount]] / 100))) - Table1[[#This Row],[Unit_Cost]])</f>
        <v>11245.101480000003</v>
      </c>
      <c r="G554" s="3">
        <v>29</v>
      </c>
      <c r="H554" t="s">
        <v>29</v>
      </c>
      <c r="I554">
        <v>1221.74</v>
      </c>
      <c r="J554" s="2">
        <v>1611.92</v>
      </c>
      <c r="K554" t="s">
        <v>30</v>
      </c>
      <c r="L554" s="4">
        <v>0.15</v>
      </c>
      <c r="M554" t="s">
        <v>18</v>
      </c>
      <c r="N554" t="s">
        <v>22</v>
      </c>
      <c r="O554" t="s">
        <v>36</v>
      </c>
    </row>
    <row r="555" spans="1:15" x14ac:dyDescent="0.25">
      <c r="A555" s="3">
        <v>1051</v>
      </c>
      <c r="B555" s="1">
        <v>45057</v>
      </c>
      <c r="C555" t="s">
        <v>14</v>
      </c>
      <c r="D555" t="s">
        <v>15</v>
      </c>
      <c r="E555" s="2">
        <f>Table1[[#This Row],[Quantity_Sold]] * Table1[[#This Row],[Unit_Price]] * (1 - (Table1[[#This Row],[Discount]] / 100))</f>
        <v>167256.39067200001</v>
      </c>
      <c r="F555" s="2">
        <f>Table1[[#This Row],[Quantity_Sold]] * ((Table1[[#This Row],[Unit_Price]] * (1 - (Table1[[#This Row],[Discount]] / 100))) - Table1[[#This Row],[Unit_Cost]])</f>
        <v>8174.1906720000188</v>
      </c>
      <c r="G555" s="3">
        <v>36</v>
      </c>
      <c r="H555" t="s">
        <v>26</v>
      </c>
      <c r="I555">
        <v>4418.95</v>
      </c>
      <c r="J555" s="2">
        <v>4647.87</v>
      </c>
      <c r="K555" t="s">
        <v>30</v>
      </c>
      <c r="L555" s="4">
        <v>0.04</v>
      </c>
      <c r="M555" t="s">
        <v>27</v>
      </c>
      <c r="N555" t="s">
        <v>19</v>
      </c>
      <c r="O555" t="s">
        <v>20</v>
      </c>
    </row>
    <row r="556" spans="1:15" x14ac:dyDescent="0.25">
      <c r="A556" s="3">
        <v>1043</v>
      </c>
      <c r="B556" s="1">
        <v>45219</v>
      </c>
      <c r="C556" t="s">
        <v>33</v>
      </c>
      <c r="D556" t="s">
        <v>25</v>
      </c>
      <c r="E556" s="2">
        <f>Table1[[#This Row],[Quantity_Sold]] * Table1[[#This Row],[Unit_Price]] * (1 - (Table1[[#This Row],[Discount]] / 100))</f>
        <v>16676.641431999979</v>
      </c>
      <c r="F556" s="2">
        <f>Table1[[#This Row],[Quantity_Sold]] * ((Table1[[#This Row],[Unit_Price]] * (1 - (Table1[[#This Row],[Discount]] / 100))) - Table1[[#This Row],[Unit_Cost]])</f>
        <v>5015.7614319999793</v>
      </c>
      <c r="G556" s="3">
        <v>22</v>
      </c>
      <c r="H556" t="s">
        <v>26</v>
      </c>
      <c r="I556">
        <v>530.04</v>
      </c>
      <c r="J556" s="2">
        <v>759.31999999999903</v>
      </c>
      <c r="K556" t="s">
        <v>17</v>
      </c>
      <c r="L556" s="4">
        <v>0.17</v>
      </c>
      <c r="M556" t="s">
        <v>27</v>
      </c>
      <c r="N556" t="s">
        <v>22</v>
      </c>
      <c r="O556" t="s">
        <v>44</v>
      </c>
    </row>
    <row r="557" spans="1:15" x14ac:dyDescent="0.25">
      <c r="A557" s="3">
        <v>1012</v>
      </c>
      <c r="B557" s="1">
        <v>45097</v>
      </c>
      <c r="C557" t="s">
        <v>42</v>
      </c>
      <c r="D557" t="s">
        <v>25</v>
      </c>
      <c r="E557" s="2">
        <f>Table1[[#This Row],[Quantity_Sold]] * Table1[[#This Row],[Unit_Price]] * (1 - (Table1[[#This Row],[Discount]] / 100))</f>
        <v>37729.040756000002</v>
      </c>
      <c r="F557" s="2">
        <f>Table1[[#This Row],[Quantity_Sold]] * ((Table1[[#This Row],[Unit_Price]] * (1 - (Table1[[#This Row],[Discount]] / 100))) - Table1[[#This Row],[Unit_Cost]])</f>
        <v>22418.790756000006</v>
      </c>
      <c r="G557" s="3">
        <v>47</v>
      </c>
      <c r="H557" t="s">
        <v>29</v>
      </c>
      <c r="I557">
        <v>325.75</v>
      </c>
      <c r="J557" s="2">
        <v>803.71</v>
      </c>
      <c r="K557" t="s">
        <v>30</v>
      </c>
      <c r="L557" s="4">
        <v>0.12</v>
      </c>
      <c r="M557" t="s">
        <v>27</v>
      </c>
      <c r="N557" t="s">
        <v>22</v>
      </c>
      <c r="O557" t="s">
        <v>43</v>
      </c>
    </row>
    <row r="558" spans="1:15" x14ac:dyDescent="0.25">
      <c r="A558" s="3">
        <v>1067</v>
      </c>
      <c r="B558" s="1">
        <v>45109</v>
      </c>
      <c r="C558" t="s">
        <v>42</v>
      </c>
      <c r="D558" t="s">
        <v>15</v>
      </c>
      <c r="E558" s="2">
        <f>Table1[[#This Row],[Quantity_Sold]] * Table1[[#This Row],[Unit_Price]] * (1 - (Table1[[#This Row],[Discount]] / 100))</f>
        <v>41327.259839999999</v>
      </c>
      <c r="F558" s="2">
        <f>Table1[[#This Row],[Quantity_Sold]] * ((Table1[[#This Row],[Unit_Price]] * (1 - (Table1[[#This Row],[Discount]] / 100))) - Table1[[#This Row],[Unit_Cost]])</f>
        <v>16499.499840000004</v>
      </c>
      <c r="G558" s="3">
        <v>36</v>
      </c>
      <c r="H558" t="s">
        <v>35</v>
      </c>
      <c r="I558">
        <v>689.66</v>
      </c>
      <c r="J558" s="2">
        <v>1150.28</v>
      </c>
      <c r="K558" t="s">
        <v>30</v>
      </c>
      <c r="L558" s="4">
        <v>0.2</v>
      </c>
      <c r="M558" t="s">
        <v>27</v>
      </c>
      <c r="N558" t="s">
        <v>19</v>
      </c>
      <c r="O558" t="s">
        <v>49</v>
      </c>
    </row>
    <row r="559" spans="1:15" x14ac:dyDescent="0.25">
      <c r="A559" s="3">
        <v>1065</v>
      </c>
      <c r="B559" s="1">
        <v>45290</v>
      </c>
      <c r="C559" t="s">
        <v>24</v>
      </c>
      <c r="D559" t="s">
        <v>25</v>
      </c>
      <c r="E559" s="2">
        <f>Table1[[#This Row],[Quantity_Sold]] * Table1[[#This Row],[Unit_Price]] * (1 - (Table1[[#This Row],[Discount]] / 100))</f>
        <v>4473.1295460000001</v>
      </c>
      <c r="F559" s="2">
        <f>Table1[[#This Row],[Quantity_Sold]] * ((Table1[[#This Row],[Unit_Price]] * (1 - (Table1[[#This Row],[Discount]] / 100))) - Table1[[#This Row],[Unit_Cost]])</f>
        <v>1450.749546</v>
      </c>
      <c r="G559" s="3">
        <v>9</v>
      </c>
      <c r="H559" t="s">
        <v>29</v>
      </c>
      <c r="I559">
        <v>335.82</v>
      </c>
      <c r="J559" s="2">
        <v>498.31</v>
      </c>
      <c r="K559" t="s">
        <v>30</v>
      </c>
      <c r="L559" s="4">
        <v>0.26</v>
      </c>
      <c r="M559" t="s">
        <v>18</v>
      </c>
      <c r="N559" t="s">
        <v>22</v>
      </c>
      <c r="O559" t="s">
        <v>28</v>
      </c>
    </row>
    <row r="560" spans="1:15" x14ac:dyDescent="0.25">
      <c r="A560" s="3">
        <v>1033</v>
      </c>
      <c r="B560" s="1">
        <v>44965</v>
      </c>
      <c r="C560" t="s">
        <v>38</v>
      </c>
      <c r="D560" t="s">
        <v>15</v>
      </c>
      <c r="E560" s="2">
        <f>Table1[[#This Row],[Quantity_Sold]] * Table1[[#This Row],[Unit_Price]] * (1 - (Table1[[#This Row],[Discount]] / 100))</f>
        <v>169261.39230000001</v>
      </c>
      <c r="F560" s="2">
        <f>Table1[[#This Row],[Quantity_Sold]] * ((Table1[[#This Row],[Unit_Price]] * (1 - (Table1[[#This Row],[Discount]] / 100))) - Table1[[#This Row],[Unit_Cost]])</f>
        <v>4181.8022999999985</v>
      </c>
      <c r="G560" s="3">
        <v>39</v>
      </c>
      <c r="H560" t="s">
        <v>35</v>
      </c>
      <c r="I560">
        <v>4232.8100000000004</v>
      </c>
      <c r="J560" s="2">
        <v>4345.25</v>
      </c>
      <c r="K560" t="s">
        <v>17</v>
      </c>
      <c r="L560" s="4">
        <v>0.12</v>
      </c>
      <c r="M560" t="s">
        <v>27</v>
      </c>
      <c r="N560" t="s">
        <v>19</v>
      </c>
      <c r="O560" t="s">
        <v>40</v>
      </c>
    </row>
    <row r="561" spans="1:15" x14ac:dyDescent="0.25">
      <c r="A561" s="3">
        <v>1040</v>
      </c>
      <c r="B561" s="1">
        <v>44941</v>
      </c>
      <c r="C561" t="s">
        <v>33</v>
      </c>
      <c r="D561" t="s">
        <v>15</v>
      </c>
      <c r="E561" s="2">
        <f>Table1[[#This Row],[Quantity_Sold]] * Table1[[#This Row],[Unit_Price]] * (1 - (Table1[[#This Row],[Discount]] / 100))</f>
        <v>14580.006174</v>
      </c>
      <c r="F561" s="2">
        <f>Table1[[#This Row],[Quantity_Sold]] * ((Table1[[#This Row],[Unit_Price]] * (1 - (Table1[[#This Row],[Discount]] / 100))) - Table1[[#This Row],[Unit_Cost]])</f>
        <v>8076.3061739999994</v>
      </c>
      <c r="G561" s="3">
        <v>19</v>
      </c>
      <c r="H561" t="s">
        <v>16</v>
      </c>
      <c r="I561">
        <v>342.3</v>
      </c>
      <c r="J561" s="2">
        <v>768.06</v>
      </c>
      <c r="K561" t="s">
        <v>17</v>
      </c>
      <c r="L561" s="4">
        <v>0.09</v>
      </c>
      <c r="M561" t="s">
        <v>31</v>
      </c>
      <c r="N561" t="s">
        <v>19</v>
      </c>
      <c r="O561" t="s">
        <v>53</v>
      </c>
    </row>
    <row r="562" spans="1:15" x14ac:dyDescent="0.25">
      <c r="A562" s="3">
        <v>1074</v>
      </c>
      <c r="B562" s="1">
        <v>44930</v>
      </c>
      <c r="C562" t="s">
        <v>38</v>
      </c>
      <c r="D562" t="s">
        <v>25</v>
      </c>
      <c r="E562" s="2">
        <f>Table1[[#This Row],[Quantity_Sold]] * Table1[[#This Row],[Unit_Price]] * (1 - (Table1[[#This Row],[Discount]] / 100))</f>
        <v>70250.22</v>
      </c>
      <c r="F562" s="2">
        <f>Table1[[#This Row],[Quantity_Sold]] * ((Table1[[#This Row],[Unit_Price]] * (1 - (Table1[[#This Row],[Discount]] / 100))) - Table1[[#This Row],[Unit_Cost]])</f>
        <v>17250.100000000002</v>
      </c>
      <c r="G562" s="3">
        <v>38</v>
      </c>
      <c r="H562" t="s">
        <v>16</v>
      </c>
      <c r="I562">
        <v>1394.74</v>
      </c>
      <c r="J562" s="2">
        <v>1848.69</v>
      </c>
      <c r="K562" t="s">
        <v>17</v>
      </c>
      <c r="L562" s="4">
        <v>0</v>
      </c>
      <c r="M562" t="s">
        <v>27</v>
      </c>
      <c r="N562" t="s">
        <v>22</v>
      </c>
      <c r="O562" t="s">
        <v>39</v>
      </c>
    </row>
    <row r="563" spans="1:15" x14ac:dyDescent="0.25">
      <c r="A563" s="3">
        <v>1043</v>
      </c>
      <c r="B563" s="1">
        <v>45275</v>
      </c>
      <c r="C563" t="s">
        <v>24</v>
      </c>
      <c r="D563" t="s">
        <v>21</v>
      </c>
      <c r="E563" s="2">
        <f>Table1[[#This Row],[Quantity_Sold]] * Table1[[#This Row],[Unit_Price]] * (1 - (Table1[[#This Row],[Discount]] / 100))</f>
        <v>5025.2625059999991</v>
      </c>
      <c r="F563" s="2">
        <f>Table1[[#This Row],[Quantity_Sold]] * ((Table1[[#This Row],[Unit_Price]] * (1 - (Table1[[#This Row],[Discount]] / 100))) - Table1[[#This Row],[Unit_Cost]])</f>
        <v>1643.7225060000001</v>
      </c>
      <c r="G563" s="3">
        <v>6</v>
      </c>
      <c r="H563" t="s">
        <v>29</v>
      </c>
      <c r="I563">
        <v>563.59</v>
      </c>
      <c r="J563" s="2">
        <v>838.97</v>
      </c>
      <c r="K563" t="s">
        <v>30</v>
      </c>
      <c r="L563" s="4">
        <v>0.17</v>
      </c>
      <c r="M563" t="s">
        <v>31</v>
      </c>
      <c r="N563" t="s">
        <v>19</v>
      </c>
      <c r="O563" t="s">
        <v>47</v>
      </c>
    </row>
    <row r="564" spans="1:15" x14ac:dyDescent="0.25">
      <c r="A564" s="3">
        <v>1044</v>
      </c>
      <c r="B564" s="1">
        <v>45136</v>
      </c>
      <c r="C564" t="s">
        <v>42</v>
      </c>
      <c r="D564" t="s">
        <v>15</v>
      </c>
      <c r="E564" s="2">
        <f>Table1[[#This Row],[Quantity_Sold]] * Table1[[#This Row],[Unit_Price]] * (1 - (Table1[[#This Row],[Discount]] / 100))</f>
        <v>85942.465135999999</v>
      </c>
      <c r="F564" s="2">
        <f>Table1[[#This Row],[Quantity_Sold]] * ((Table1[[#This Row],[Unit_Price]] * (1 - (Table1[[#This Row],[Discount]] / 100))) - Table1[[#This Row],[Unit_Cost]])</f>
        <v>14862.485136000008</v>
      </c>
      <c r="G564" s="3">
        <v>47</v>
      </c>
      <c r="H564" t="s">
        <v>35</v>
      </c>
      <c r="I564">
        <v>1512.34</v>
      </c>
      <c r="J564" s="2">
        <v>1830.76</v>
      </c>
      <c r="K564" t="s">
        <v>30</v>
      </c>
      <c r="L564" s="4">
        <v>0.12</v>
      </c>
      <c r="M564" t="s">
        <v>27</v>
      </c>
      <c r="N564" t="s">
        <v>19</v>
      </c>
      <c r="O564" t="s">
        <v>49</v>
      </c>
    </row>
    <row r="565" spans="1:15" x14ac:dyDescent="0.25">
      <c r="A565" s="3">
        <v>1029</v>
      </c>
      <c r="B565" s="1">
        <v>45087</v>
      </c>
      <c r="C565" t="s">
        <v>38</v>
      </c>
      <c r="D565" t="s">
        <v>34</v>
      </c>
      <c r="E565" s="2">
        <f>Table1[[#This Row],[Quantity_Sold]] * Table1[[#This Row],[Unit_Price]] * (1 - (Table1[[#This Row],[Discount]] / 100))</f>
        <v>9501.9363599999997</v>
      </c>
      <c r="F565" s="2">
        <f>Table1[[#This Row],[Quantity_Sold]] * ((Table1[[#This Row],[Unit_Price]] * (1 - (Table1[[#This Row],[Discount]] / 100))) - Table1[[#This Row],[Unit_Cost]])</f>
        <v>2027.8863599999995</v>
      </c>
      <c r="G565" s="3">
        <v>15</v>
      </c>
      <c r="H565" t="s">
        <v>29</v>
      </c>
      <c r="I565">
        <v>498.27</v>
      </c>
      <c r="J565" s="2">
        <v>634.16</v>
      </c>
      <c r="K565" t="s">
        <v>17</v>
      </c>
      <c r="L565" s="4">
        <v>0.11</v>
      </c>
      <c r="M565" t="s">
        <v>31</v>
      </c>
      <c r="N565" t="s">
        <v>22</v>
      </c>
      <c r="O565" t="s">
        <v>48</v>
      </c>
    </row>
    <row r="566" spans="1:15" x14ac:dyDescent="0.25">
      <c r="A566" s="3">
        <v>1013</v>
      </c>
      <c r="B566" s="1">
        <v>44942</v>
      </c>
      <c r="C566" t="s">
        <v>38</v>
      </c>
      <c r="D566" t="s">
        <v>34</v>
      </c>
      <c r="E566" s="2">
        <f>Table1[[#This Row],[Quantity_Sold]] * Table1[[#This Row],[Unit_Price]] * (1 - (Table1[[#This Row],[Discount]] / 100))</f>
        <v>75142.609899999807</v>
      </c>
      <c r="F566" s="2">
        <f>Table1[[#This Row],[Quantity_Sold]] * ((Table1[[#This Row],[Unit_Price]] * (1 - (Table1[[#This Row],[Discount]] / 100))) - Table1[[#This Row],[Unit_Cost]])</f>
        <v>8010.2098999998088</v>
      </c>
      <c r="G566" s="3">
        <v>20</v>
      </c>
      <c r="H566" t="s">
        <v>29</v>
      </c>
      <c r="I566">
        <v>3356.62</v>
      </c>
      <c r="J566" s="2">
        <v>3759.0099999999902</v>
      </c>
      <c r="K566" t="s">
        <v>17</v>
      </c>
      <c r="L566" s="4">
        <v>0.05</v>
      </c>
      <c r="M566" t="s">
        <v>31</v>
      </c>
      <c r="N566" t="s">
        <v>22</v>
      </c>
      <c r="O566" t="s">
        <v>48</v>
      </c>
    </row>
    <row r="567" spans="1:15" x14ac:dyDescent="0.25">
      <c r="A567" s="3">
        <v>1012</v>
      </c>
      <c r="B567" s="1">
        <v>45034</v>
      </c>
      <c r="C567" t="s">
        <v>42</v>
      </c>
      <c r="D567" t="s">
        <v>25</v>
      </c>
      <c r="E567" s="2">
        <f>Table1[[#This Row],[Quantity_Sold]] * Table1[[#This Row],[Unit_Price]] * (1 - (Table1[[#This Row],[Discount]] / 100))</f>
        <v>9255.342392999999</v>
      </c>
      <c r="F567" s="2">
        <f>Table1[[#This Row],[Quantity_Sold]] * ((Table1[[#This Row],[Unit_Price]] * (1 - (Table1[[#This Row],[Discount]] / 100))) - Table1[[#This Row],[Unit_Cost]])</f>
        <v>2865.6123930000012</v>
      </c>
      <c r="G567" s="3">
        <v>9</v>
      </c>
      <c r="H567" t="s">
        <v>35</v>
      </c>
      <c r="I567">
        <v>709.97</v>
      </c>
      <c r="J567" s="2">
        <v>1029.71</v>
      </c>
      <c r="K567" t="s">
        <v>17</v>
      </c>
      <c r="L567" s="4">
        <v>0.13</v>
      </c>
      <c r="M567" t="s">
        <v>27</v>
      </c>
      <c r="N567" t="s">
        <v>22</v>
      </c>
      <c r="O567" t="s">
        <v>43</v>
      </c>
    </row>
    <row r="568" spans="1:15" x14ac:dyDescent="0.25">
      <c r="A568" s="3">
        <v>1095</v>
      </c>
      <c r="B568" s="1">
        <v>45237</v>
      </c>
      <c r="C568" t="s">
        <v>33</v>
      </c>
      <c r="D568" t="s">
        <v>21</v>
      </c>
      <c r="E568" s="2">
        <f>Table1[[#This Row],[Quantity_Sold]] * Table1[[#This Row],[Unit_Price]] * (1 - (Table1[[#This Row],[Discount]] / 100))</f>
        <v>144313.27743999998</v>
      </c>
      <c r="F568" s="2">
        <f>Table1[[#This Row],[Quantity_Sold]] * ((Table1[[#This Row],[Unit_Price]] * (1 - (Table1[[#This Row],[Discount]] / 100))) - Table1[[#This Row],[Unit_Cost]])</f>
        <v>7780.7974399999657</v>
      </c>
      <c r="G568" s="3">
        <v>32</v>
      </c>
      <c r="H568" t="s">
        <v>29</v>
      </c>
      <c r="I568">
        <v>4266.6400000000003</v>
      </c>
      <c r="J568" s="2">
        <v>4523.3599999999997</v>
      </c>
      <c r="K568" t="s">
        <v>30</v>
      </c>
      <c r="L568" s="4">
        <v>0.3</v>
      </c>
      <c r="M568" t="s">
        <v>27</v>
      </c>
      <c r="N568" t="s">
        <v>22</v>
      </c>
      <c r="O568" t="s">
        <v>37</v>
      </c>
    </row>
    <row r="569" spans="1:15" x14ac:dyDescent="0.25">
      <c r="A569" s="3">
        <v>1046</v>
      </c>
      <c r="B569" s="1">
        <v>45153</v>
      </c>
      <c r="C569" t="s">
        <v>42</v>
      </c>
      <c r="D569" t="s">
        <v>25</v>
      </c>
      <c r="E569" s="2">
        <f>Table1[[#This Row],[Quantity_Sold]] * Table1[[#This Row],[Unit_Price]] * (1 - (Table1[[#This Row],[Discount]] / 100))</f>
        <v>16523.315620000001</v>
      </c>
      <c r="F569" s="2">
        <f>Table1[[#This Row],[Quantity_Sold]] * ((Table1[[#This Row],[Unit_Price]] * (1 - (Table1[[#This Row],[Discount]] / 100))) - Table1[[#This Row],[Unit_Cost]])</f>
        <v>142.91562000000158</v>
      </c>
      <c r="G569" s="3">
        <v>4</v>
      </c>
      <c r="H569" t="s">
        <v>16</v>
      </c>
      <c r="I569">
        <v>4095.1</v>
      </c>
      <c r="J569" s="2">
        <v>4134.55</v>
      </c>
      <c r="K569" t="s">
        <v>17</v>
      </c>
      <c r="L569" s="4">
        <v>0.09</v>
      </c>
      <c r="M569" t="s">
        <v>27</v>
      </c>
      <c r="N569" t="s">
        <v>22</v>
      </c>
      <c r="O569" t="s">
        <v>43</v>
      </c>
    </row>
    <row r="570" spans="1:15" x14ac:dyDescent="0.25">
      <c r="A570" s="3">
        <v>1002</v>
      </c>
      <c r="B570" s="1">
        <v>45096</v>
      </c>
      <c r="C570" t="s">
        <v>38</v>
      </c>
      <c r="D570" t="s">
        <v>21</v>
      </c>
      <c r="E570" s="2">
        <f>Table1[[#This Row],[Quantity_Sold]] * Table1[[#This Row],[Unit_Price]] * (1 - (Table1[[#This Row],[Discount]] / 100))</f>
        <v>10357.243344000002</v>
      </c>
      <c r="F570" s="2">
        <f>Table1[[#This Row],[Quantity_Sold]] * ((Table1[[#This Row],[Unit_Price]] * (1 - (Table1[[#This Row],[Discount]] / 100))) - Table1[[#This Row],[Unit_Cost]])</f>
        <v>8239.9033440000003</v>
      </c>
      <c r="G570" s="3">
        <v>18</v>
      </c>
      <c r="H570" t="s">
        <v>26</v>
      </c>
      <c r="I570">
        <v>117.63</v>
      </c>
      <c r="J570" s="2">
        <v>576.44000000000005</v>
      </c>
      <c r="K570" t="s">
        <v>30</v>
      </c>
      <c r="L570" s="4">
        <v>0.18</v>
      </c>
      <c r="M570" t="s">
        <v>31</v>
      </c>
      <c r="N570" t="s">
        <v>22</v>
      </c>
      <c r="O570" t="s">
        <v>41</v>
      </c>
    </row>
    <row r="571" spans="1:15" x14ac:dyDescent="0.25">
      <c r="A571" s="3">
        <v>1035</v>
      </c>
      <c r="B571" s="1">
        <v>44960</v>
      </c>
      <c r="C571" t="s">
        <v>33</v>
      </c>
      <c r="D571" t="s">
        <v>15</v>
      </c>
      <c r="E571" s="2">
        <f>Table1[[#This Row],[Quantity_Sold]] * Table1[[#This Row],[Unit_Price]] * (1 - (Table1[[#This Row],[Discount]] / 100))</f>
        <v>23921.952669999999</v>
      </c>
      <c r="F571" s="2">
        <f>Table1[[#This Row],[Quantity_Sold]] * ((Table1[[#This Row],[Unit_Price]] * (1 - (Table1[[#This Row],[Discount]] / 100))) - Table1[[#This Row],[Unit_Cost]])</f>
        <v>1502.7026699999988</v>
      </c>
      <c r="G571" s="3">
        <v>5</v>
      </c>
      <c r="H571" t="s">
        <v>26</v>
      </c>
      <c r="I571">
        <v>4483.8500000000004</v>
      </c>
      <c r="J571" s="2">
        <v>4795.42</v>
      </c>
      <c r="K571" t="s">
        <v>17</v>
      </c>
      <c r="L571" s="4">
        <v>0.23</v>
      </c>
      <c r="M571" t="s">
        <v>18</v>
      </c>
      <c r="N571" t="s">
        <v>19</v>
      </c>
      <c r="O571" t="s">
        <v>53</v>
      </c>
    </row>
    <row r="572" spans="1:15" x14ac:dyDescent="0.25">
      <c r="A572" s="3">
        <v>1087</v>
      </c>
      <c r="B572" s="1">
        <v>45177</v>
      </c>
      <c r="C572" t="s">
        <v>33</v>
      </c>
      <c r="D572" t="s">
        <v>15</v>
      </c>
      <c r="E572" s="2">
        <f>Table1[[#This Row],[Quantity_Sold]] * Table1[[#This Row],[Unit_Price]] * (1 - (Table1[[#This Row],[Discount]] / 100))</f>
        <v>5940.7016400000002</v>
      </c>
      <c r="F572" s="2">
        <f>Table1[[#This Row],[Quantity_Sold]] * ((Table1[[#This Row],[Unit_Price]] * (1 - (Table1[[#This Row],[Discount]] / 100))) - Table1[[#This Row],[Unit_Cost]])</f>
        <v>2075.3016399999997</v>
      </c>
      <c r="G572" s="3">
        <v>20</v>
      </c>
      <c r="H572" t="s">
        <v>29</v>
      </c>
      <c r="I572">
        <v>193.27</v>
      </c>
      <c r="J572" s="2">
        <v>297.69</v>
      </c>
      <c r="K572" t="s">
        <v>30</v>
      </c>
      <c r="L572" s="4">
        <v>0.22</v>
      </c>
      <c r="M572" t="s">
        <v>18</v>
      </c>
      <c r="N572" t="s">
        <v>19</v>
      </c>
      <c r="O572" t="s">
        <v>53</v>
      </c>
    </row>
    <row r="573" spans="1:15" x14ac:dyDescent="0.25">
      <c r="A573" s="3">
        <v>1081</v>
      </c>
      <c r="B573" s="1">
        <v>45173</v>
      </c>
      <c r="C573" t="s">
        <v>42</v>
      </c>
      <c r="D573" t="s">
        <v>15</v>
      </c>
      <c r="E573" s="2">
        <f>Table1[[#This Row],[Quantity_Sold]] * Table1[[#This Row],[Unit_Price]] * (1 - (Table1[[#This Row],[Discount]] / 100))</f>
        <v>35462.242260000006</v>
      </c>
      <c r="F573" s="2">
        <f>Table1[[#This Row],[Quantity_Sold]] * ((Table1[[#This Row],[Unit_Price]] * (1 - (Table1[[#This Row],[Discount]] / 100))) - Table1[[#This Row],[Unit_Cost]])</f>
        <v>7028.4922600000009</v>
      </c>
      <c r="G573" s="3">
        <v>23</v>
      </c>
      <c r="H573" t="s">
        <v>35</v>
      </c>
      <c r="I573">
        <v>1236.25</v>
      </c>
      <c r="J573" s="2">
        <v>1543.38</v>
      </c>
      <c r="K573" t="s">
        <v>30</v>
      </c>
      <c r="L573" s="4">
        <v>0.1</v>
      </c>
      <c r="M573" t="s">
        <v>27</v>
      </c>
      <c r="N573" t="s">
        <v>19</v>
      </c>
      <c r="O573" t="s">
        <v>49</v>
      </c>
    </row>
    <row r="574" spans="1:15" x14ac:dyDescent="0.25">
      <c r="A574" s="3">
        <v>1090</v>
      </c>
      <c r="B574" s="1">
        <v>45195</v>
      </c>
      <c r="C574" t="s">
        <v>38</v>
      </c>
      <c r="D574" t="s">
        <v>15</v>
      </c>
      <c r="E574" s="2">
        <f>Table1[[#This Row],[Quantity_Sold]] * Table1[[#This Row],[Unit_Price]] * (1 - (Table1[[#This Row],[Discount]] / 100))</f>
        <v>6064.2546579999998</v>
      </c>
      <c r="F574" s="2">
        <f>Table1[[#This Row],[Quantity_Sold]] * ((Table1[[#This Row],[Unit_Price]] * (1 - (Table1[[#This Row],[Discount]] / 100))) - Table1[[#This Row],[Unit_Cost]])</f>
        <v>3750.6246579999984</v>
      </c>
      <c r="G574" s="3">
        <v>11</v>
      </c>
      <c r="H574" t="s">
        <v>35</v>
      </c>
      <c r="I574">
        <v>210.33</v>
      </c>
      <c r="J574" s="2">
        <v>552.29</v>
      </c>
      <c r="K574" t="s">
        <v>17</v>
      </c>
      <c r="L574" s="4">
        <v>0.18</v>
      </c>
      <c r="M574" t="s">
        <v>18</v>
      </c>
      <c r="N574" t="s">
        <v>22</v>
      </c>
      <c r="O574" t="s">
        <v>40</v>
      </c>
    </row>
    <row r="575" spans="1:15" x14ac:dyDescent="0.25">
      <c r="A575" s="3">
        <v>1008</v>
      </c>
      <c r="B575" s="1">
        <v>45067</v>
      </c>
      <c r="C575" t="s">
        <v>24</v>
      </c>
      <c r="D575" t="s">
        <v>34</v>
      </c>
      <c r="E575" s="2">
        <f>Table1[[#This Row],[Quantity_Sold]] * Table1[[#This Row],[Unit_Price]] * (1 - (Table1[[#This Row],[Discount]] / 100))</f>
        <v>73071.738228000002</v>
      </c>
      <c r="F575" s="2">
        <f>Table1[[#This Row],[Quantity_Sold]] * ((Table1[[#This Row],[Unit_Price]] * (1 - (Table1[[#This Row],[Discount]] / 100))) - Table1[[#This Row],[Unit_Cost]])</f>
        <v>9711.8282279999876</v>
      </c>
      <c r="G575" s="3">
        <v>37</v>
      </c>
      <c r="H575" t="s">
        <v>16</v>
      </c>
      <c r="I575">
        <v>1712.43</v>
      </c>
      <c r="J575" s="2">
        <v>1980.06</v>
      </c>
      <c r="K575" t="s">
        <v>30</v>
      </c>
      <c r="L575" s="4">
        <v>0.26</v>
      </c>
      <c r="M575" t="s">
        <v>18</v>
      </c>
      <c r="N575" t="s">
        <v>19</v>
      </c>
      <c r="O575" t="s">
        <v>50</v>
      </c>
    </row>
    <row r="576" spans="1:15" x14ac:dyDescent="0.25">
      <c r="A576" s="3">
        <v>1093</v>
      </c>
      <c r="B576" s="1">
        <v>45200</v>
      </c>
      <c r="C576" t="s">
        <v>38</v>
      </c>
      <c r="D576" t="s">
        <v>34</v>
      </c>
      <c r="E576" s="2">
        <f>Table1[[#This Row],[Quantity_Sold]] * Table1[[#This Row],[Unit_Price]] * (1 - (Table1[[#This Row],[Discount]] / 100))</f>
        <v>65021.219999999783</v>
      </c>
      <c r="F576" s="2">
        <f>Table1[[#This Row],[Quantity_Sold]] * ((Table1[[#This Row],[Unit_Price]] * (1 - (Table1[[#This Row],[Discount]] / 100))) - Table1[[#This Row],[Unit_Cost]])</f>
        <v>7961.1399999997875</v>
      </c>
      <c r="G576" s="3">
        <v>22</v>
      </c>
      <c r="H576" t="s">
        <v>35</v>
      </c>
      <c r="I576">
        <v>2593.64</v>
      </c>
      <c r="J576" s="2">
        <v>2955.5099999999902</v>
      </c>
      <c r="K576" t="s">
        <v>17</v>
      </c>
      <c r="L576" s="4">
        <v>0</v>
      </c>
      <c r="M576" t="s">
        <v>27</v>
      </c>
      <c r="N576" t="s">
        <v>22</v>
      </c>
      <c r="O576" t="s">
        <v>48</v>
      </c>
    </row>
    <row r="577" spans="1:15" x14ac:dyDescent="0.25">
      <c r="A577" s="3">
        <v>1026</v>
      </c>
      <c r="B577" s="1">
        <v>45022</v>
      </c>
      <c r="C577" t="s">
        <v>14</v>
      </c>
      <c r="D577" t="s">
        <v>25</v>
      </c>
      <c r="E577" s="2">
        <f>Table1[[#This Row],[Quantity_Sold]] * Table1[[#This Row],[Unit_Price]] * (1 - (Table1[[#This Row],[Discount]] / 100))</f>
        <v>17130.900840000002</v>
      </c>
      <c r="F577" s="2">
        <f>Table1[[#This Row],[Quantity_Sold]] * ((Table1[[#This Row],[Unit_Price]] * (1 - (Table1[[#This Row],[Discount]] / 100))) - Table1[[#This Row],[Unit_Cost]])</f>
        <v>1157.3408400000026</v>
      </c>
      <c r="G577" s="3">
        <v>4</v>
      </c>
      <c r="H577" t="s">
        <v>35</v>
      </c>
      <c r="I577">
        <v>3993.39</v>
      </c>
      <c r="J577" s="2">
        <v>4288.3</v>
      </c>
      <c r="K577" t="s">
        <v>30</v>
      </c>
      <c r="L577" s="4">
        <v>0.13</v>
      </c>
      <c r="M577" t="s">
        <v>31</v>
      </c>
      <c r="N577" t="s">
        <v>19</v>
      </c>
      <c r="O577" t="s">
        <v>32</v>
      </c>
    </row>
    <row r="578" spans="1:15" x14ac:dyDescent="0.25">
      <c r="A578" s="3">
        <v>1074</v>
      </c>
      <c r="B578" s="1">
        <v>45153</v>
      </c>
      <c r="C578" t="s">
        <v>24</v>
      </c>
      <c r="D578" t="s">
        <v>21</v>
      </c>
      <c r="E578" s="2">
        <f>Table1[[#This Row],[Quantity_Sold]] * Table1[[#This Row],[Unit_Price]] * (1 - (Table1[[#This Row],[Discount]] / 100))</f>
        <v>63680.572373999996</v>
      </c>
      <c r="F578" s="2">
        <f>Table1[[#This Row],[Quantity_Sold]] * ((Table1[[#This Row],[Unit_Price]] * (1 - (Table1[[#This Row],[Discount]] / 100))) - Table1[[#This Row],[Unit_Cost]])</f>
        <v>13713.282373999997</v>
      </c>
      <c r="G578" s="3">
        <v>29</v>
      </c>
      <c r="H578" t="s">
        <v>16</v>
      </c>
      <c r="I578">
        <v>1723.01</v>
      </c>
      <c r="J578" s="2">
        <v>2197.42</v>
      </c>
      <c r="K578" t="s">
        <v>30</v>
      </c>
      <c r="L578" s="4">
        <v>7.0000000000000007E-2</v>
      </c>
      <c r="M578" t="s">
        <v>27</v>
      </c>
      <c r="N578" t="s">
        <v>22</v>
      </c>
      <c r="O578" t="s">
        <v>47</v>
      </c>
    </row>
    <row r="579" spans="1:15" x14ac:dyDescent="0.25">
      <c r="A579" s="3">
        <v>1090</v>
      </c>
      <c r="B579" s="1">
        <v>44965</v>
      </c>
      <c r="C579" t="s">
        <v>33</v>
      </c>
      <c r="D579" t="s">
        <v>15</v>
      </c>
      <c r="E579" s="2">
        <f>Table1[[#This Row],[Quantity_Sold]] * Table1[[#This Row],[Unit_Price]] * (1 - (Table1[[#This Row],[Discount]] / 100))</f>
        <v>157264.615728</v>
      </c>
      <c r="F579" s="2">
        <f>Table1[[#This Row],[Quantity_Sold]] * ((Table1[[#This Row],[Unit_Price]] * (1 - (Table1[[#This Row],[Discount]] / 100))) - Table1[[#This Row],[Unit_Cost]])</f>
        <v>1408.6957280000042</v>
      </c>
      <c r="G579" s="3">
        <v>44</v>
      </c>
      <c r="H579" t="s">
        <v>29</v>
      </c>
      <c r="I579">
        <v>3542.18</v>
      </c>
      <c r="J579" s="2">
        <v>3578.49</v>
      </c>
      <c r="K579" t="s">
        <v>17</v>
      </c>
      <c r="L579" s="4">
        <v>0.12</v>
      </c>
      <c r="M579" t="s">
        <v>18</v>
      </c>
      <c r="N579" t="s">
        <v>19</v>
      </c>
      <c r="O579" t="s">
        <v>53</v>
      </c>
    </row>
    <row r="580" spans="1:15" x14ac:dyDescent="0.25">
      <c r="A580" s="3">
        <v>1034</v>
      </c>
      <c r="B580" s="1">
        <v>45228</v>
      </c>
      <c r="C580" t="s">
        <v>24</v>
      </c>
      <c r="D580" t="s">
        <v>15</v>
      </c>
      <c r="E580" s="2">
        <f>Table1[[#This Row],[Quantity_Sold]] * Table1[[#This Row],[Unit_Price]] * (1 - (Table1[[#This Row],[Discount]] / 100))</f>
        <v>35324.699432000001</v>
      </c>
      <c r="F580" s="2">
        <f>Table1[[#This Row],[Quantity_Sold]] * ((Table1[[#This Row],[Unit_Price]] * (1 - (Table1[[#This Row],[Discount]] / 100))) - Table1[[#This Row],[Unit_Cost]])</f>
        <v>2067.5994320000063</v>
      </c>
      <c r="G580" s="3">
        <v>34</v>
      </c>
      <c r="H580" t="s">
        <v>26</v>
      </c>
      <c r="I580">
        <v>978.15</v>
      </c>
      <c r="J580" s="2">
        <v>1040.21</v>
      </c>
      <c r="K580" t="s">
        <v>30</v>
      </c>
      <c r="L580" s="4">
        <v>0.12</v>
      </c>
      <c r="M580" t="s">
        <v>31</v>
      </c>
      <c r="N580" t="s">
        <v>22</v>
      </c>
      <c r="O580" t="s">
        <v>45</v>
      </c>
    </row>
    <row r="581" spans="1:15" x14ac:dyDescent="0.25">
      <c r="A581" s="3">
        <v>1007</v>
      </c>
      <c r="B581" s="1">
        <v>44955</v>
      </c>
      <c r="C581" t="s">
        <v>33</v>
      </c>
      <c r="D581" t="s">
        <v>21</v>
      </c>
      <c r="E581" s="2">
        <f>Table1[[#This Row],[Quantity_Sold]] * Table1[[#This Row],[Unit_Price]] * (1 - (Table1[[#This Row],[Discount]] / 100))</f>
        <v>50076.867983999997</v>
      </c>
      <c r="F581" s="2">
        <f>Table1[[#This Row],[Quantity_Sold]] * ((Table1[[#This Row],[Unit_Price]] * (1 - (Table1[[#This Row],[Discount]] / 100))) - Table1[[#This Row],[Unit_Cost]])</f>
        <v>1125.8879840000013</v>
      </c>
      <c r="G581" s="3">
        <v>13</v>
      </c>
      <c r="H581" t="s">
        <v>16</v>
      </c>
      <c r="I581">
        <v>3765.46</v>
      </c>
      <c r="J581" s="2">
        <v>3860.56</v>
      </c>
      <c r="K581" t="s">
        <v>17</v>
      </c>
      <c r="L581" s="4">
        <v>0.22</v>
      </c>
      <c r="M581" t="s">
        <v>18</v>
      </c>
      <c r="N581" t="s">
        <v>22</v>
      </c>
      <c r="O581" t="s">
        <v>37</v>
      </c>
    </row>
    <row r="582" spans="1:15" x14ac:dyDescent="0.25">
      <c r="A582" s="3">
        <v>1068</v>
      </c>
      <c r="B582" s="1">
        <v>45244</v>
      </c>
      <c r="C582" t="s">
        <v>33</v>
      </c>
      <c r="D582" t="s">
        <v>21</v>
      </c>
      <c r="E582" s="2">
        <f>Table1[[#This Row],[Quantity_Sold]] * Table1[[#This Row],[Unit_Price]] * (1 - (Table1[[#This Row],[Discount]] / 100))</f>
        <v>65767.383864000003</v>
      </c>
      <c r="F582" s="2">
        <f>Table1[[#This Row],[Quantity_Sold]] * ((Table1[[#This Row],[Unit_Price]] * (1 - (Table1[[#This Row],[Discount]] / 100))) - Table1[[#This Row],[Unit_Cost]])</f>
        <v>14603.823863999991</v>
      </c>
      <c r="G582" s="3">
        <v>42</v>
      </c>
      <c r="H582" t="s">
        <v>29</v>
      </c>
      <c r="I582">
        <v>1218.18</v>
      </c>
      <c r="J582" s="2">
        <v>1566.36</v>
      </c>
      <c r="K582" t="s">
        <v>17</v>
      </c>
      <c r="L582" s="4">
        <v>0.03</v>
      </c>
      <c r="M582" t="s">
        <v>31</v>
      </c>
      <c r="N582" t="s">
        <v>22</v>
      </c>
      <c r="O582" t="s">
        <v>37</v>
      </c>
    </row>
    <row r="583" spans="1:15" x14ac:dyDescent="0.25">
      <c r="A583" s="3">
        <v>1058</v>
      </c>
      <c r="B583" s="1">
        <v>45171</v>
      </c>
      <c r="C583" t="s">
        <v>24</v>
      </c>
      <c r="D583" t="s">
        <v>25</v>
      </c>
      <c r="E583" s="2">
        <f>Table1[[#This Row],[Quantity_Sold]] * Table1[[#This Row],[Unit_Price]] * (1 - (Table1[[#This Row],[Discount]] / 100))</f>
        <v>9767.3369849999126</v>
      </c>
      <c r="F583" s="2">
        <f>Table1[[#This Row],[Quantity_Sold]] * ((Table1[[#This Row],[Unit_Price]] * (1 - (Table1[[#This Row],[Discount]] / 100))) - Table1[[#This Row],[Unit_Cost]])</f>
        <v>2922.3869849999128</v>
      </c>
      <c r="G583" s="3">
        <v>9</v>
      </c>
      <c r="H583" t="s">
        <v>16</v>
      </c>
      <c r="I583">
        <v>760.55</v>
      </c>
      <c r="J583" s="2">
        <v>1086.8899999999901</v>
      </c>
      <c r="K583" t="s">
        <v>17</v>
      </c>
      <c r="L583" s="4">
        <v>0.15</v>
      </c>
      <c r="M583" t="s">
        <v>18</v>
      </c>
      <c r="N583" t="s">
        <v>22</v>
      </c>
      <c r="O583" t="s">
        <v>28</v>
      </c>
    </row>
    <row r="584" spans="1:15" x14ac:dyDescent="0.25">
      <c r="A584" s="3">
        <v>1075</v>
      </c>
      <c r="B584" s="1">
        <v>45162</v>
      </c>
      <c r="C584" t="s">
        <v>33</v>
      </c>
      <c r="D584" t="s">
        <v>21</v>
      </c>
      <c r="E584" s="2">
        <f>Table1[[#This Row],[Quantity_Sold]] * Table1[[#This Row],[Unit_Price]] * (1 - (Table1[[#This Row],[Discount]] / 100))</f>
        <v>59323.937568000001</v>
      </c>
      <c r="F584" s="2">
        <f>Table1[[#This Row],[Quantity_Sold]] * ((Table1[[#This Row],[Unit_Price]] * (1 - (Table1[[#This Row],[Discount]] / 100))) - Table1[[#This Row],[Unit_Cost]])</f>
        <v>18677.597568000001</v>
      </c>
      <c r="G584" s="3">
        <v>42</v>
      </c>
      <c r="H584" t="s">
        <v>29</v>
      </c>
      <c r="I584">
        <v>967.77</v>
      </c>
      <c r="J584" s="2">
        <v>1414.88</v>
      </c>
      <c r="K584" t="s">
        <v>30</v>
      </c>
      <c r="L584" s="4">
        <v>0.17</v>
      </c>
      <c r="M584" t="s">
        <v>27</v>
      </c>
      <c r="N584" t="s">
        <v>19</v>
      </c>
      <c r="O584" t="s">
        <v>37</v>
      </c>
    </row>
    <row r="585" spans="1:15" x14ac:dyDescent="0.25">
      <c r="A585" s="3">
        <v>1029</v>
      </c>
      <c r="B585" s="1">
        <v>45111</v>
      </c>
      <c r="C585" t="s">
        <v>33</v>
      </c>
      <c r="D585" t="s">
        <v>15</v>
      </c>
      <c r="E585" s="2">
        <f>Table1[[#This Row],[Quantity_Sold]] * Table1[[#This Row],[Unit_Price]] * (1 - (Table1[[#This Row],[Discount]] / 100))</f>
        <v>40868.525119999998</v>
      </c>
      <c r="F585" s="2">
        <f>Table1[[#This Row],[Quantity_Sold]] * ((Table1[[#This Row],[Unit_Price]] * (1 - (Table1[[#This Row],[Discount]] / 100))) - Table1[[#This Row],[Unit_Cost]])</f>
        <v>11381.015119999998</v>
      </c>
      <c r="G585" s="3">
        <v>31</v>
      </c>
      <c r="H585" t="s">
        <v>16</v>
      </c>
      <c r="I585">
        <v>951.21</v>
      </c>
      <c r="J585" s="2">
        <v>1320.32</v>
      </c>
      <c r="K585" t="s">
        <v>30</v>
      </c>
      <c r="L585" s="4">
        <v>0.15</v>
      </c>
      <c r="M585" t="s">
        <v>18</v>
      </c>
      <c r="N585" t="s">
        <v>19</v>
      </c>
      <c r="O585" t="s">
        <v>53</v>
      </c>
    </row>
    <row r="586" spans="1:15" x14ac:dyDescent="0.25">
      <c r="A586" s="3">
        <v>1036</v>
      </c>
      <c r="B586" s="1">
        <v>45198</v>
      </c>
      <c r="C586" t="s">
        <v>14</v>
      </c>
      <c r="D586" t="s">
        <v>15</v>
      </c>
      <c r="E586" s="2">
        <f>Table1[[#This Row],[Quantity_Sold]] * Table1[[#This Row],[Unit_Price]] * (1 - (Table1[[#This Row],[Discount]] / 100))</f>
        <v>19890.464496000001</v>
      </c>
      <c r="F586" s="2">
        <f>Table1[[#This Row],[Quantity_Sold]] * ((Table1[[#This Row],[Unit_Price]] * (1 - (Table1[[#This Row],[Discount]] / 100))) - Table1[[#This Row],[Unit_Cost]])</f>
        <v>1769.774496</v>
      </c>
      <c r="G586" s="3">
        <v>7</v>
      </c>
      <c r="H586" t="s">
        <v>29</v>
      </c>
      <c r="I586">
        <v>2588.67</v>
      </c>
      <c r="J586" s="2">
        <v>2847.76</v>
      </c>
      <c r="K586" t="s">
        <v>30</v>
      </c>
      <c r="L586" s="4">
        <v>0.22</v>
      </c>
      <c r="M586" t="s">
        <v>18</v>
      </c>
      <c r="N586" t="s">
        <v>22</v>
      </c>
      <c r="O586" t="s">
        <v>20</v>
      </c>
    </row>
    <row r="587" spans="1:15" x14ac:dyDescent="0.25">
      <c r="A587" s="3">
        <v>1089</v>
      </c>
      <c r="B587" s="1">
        <v>45162</v>
      </c>
      <c r="C587" t="s">
        <v>38</v>
      </c>
      <c r="D587" t="s">
        <v>15</v>
      </c>
      <c r="E587" s="2">
        <f>Table1[[#This Row],[Quantity_Sold]] * Table1[[#This Row],[Unit_Price]] * (1 - (Table1[[#This Row],[Discount]] / 100))</f>
        <v>18888.306800000002</v>
      </c>
      <c r="F587" s="2">
        <f>Table1[[#This Row],[Quantity_Sold]] * ((Table1[[#This Row],[Unit_Price]] * (1 - (Table1[[#This Row],[Discount]] / 100))) - Table1[[#This Row],[Unit_Cost]])</f>
        <v>1961.3068000000021</v>
      </c>
      <c r="G587" s="3">
        <v>4</v>
      </c>
      <c r="H587" t="s">
        <v>16</v>
      </c>
      <c r="I587">
        <v>4231.75</v>
      </c>
      <c r="J587" s="2">
        <v>4727.75</v>
      </c>
      <c r="K587" t="s">
        <v>17</v>
      </c>
      <c r="L587" s="4">
        <v>0.12</v>
      </c>
      <c r="M587" t="s">
        <v>31</v>
      </c>
      <c r="N587" t="s">
        <v>22</v>
      </c>
      <c r="O587" t="s">
        <v>40</v>
      </c>
    </row>
    <row r="588" spans="1:15" x14ac:dyDescent="0.25">
      <c r="A588" s="3">
        <v>1021</v>
      </c>
      <c r="B588" s="1">
        <v>45165</v>
      </c>
      <c r="C588" t="s">
        <v>38</v>
      </c>
      <c r="D588" t="s">
        <v>15</v>
      </c>
      <c r="E588" s="2">
        <f>Table1[[#This Row],[Quantity_Sold]] * Table1[[#This Row],[Unit_Price]] * (1 - (Table1[[#This Row],[Discount]] / 100))</f>
        <v>11073.267792000001</v>
      </c>
      <c r="F588" s="2">
        <f>Table1[[#This Row],[Quantity_Sold]] * ((Table1[[#This Row],[Unit_Price]] * (1 - (Table1[[#This Row],[Discount]] / 100))) - Table1[[#This Row],[Unit_Cost]])</f>
        <v>2636.3177920000007</v>
      </c>
      <c r="G588" s="3">
        <v>19</v>
      </c>
      <c r="H588" t="s">
        <v>29</v>
      </c>
      <c r="I588">
        <v>444.05</v>
      </c>
      <c r="J588" s="2">
        <v>584.44000000000005</v>
      </c>
      <c r="K588" t="s">
        <v>17</v>
      </c>
      <c r="L588" s="4">
        <v>0.28000000000000003</v>
      </c>
      <c r="M588" t="s">
        <v>18</v>
      </c>
      <c r="N588" t="s">
        <v>22</v>
      </c>
      <c r="O588" t="s">
        <v>40</v>
      </c>
    </row>
    <row r="589" spans="1:15" x14ac:dyDescent="0.25">
      <c r="A589" s="3">
        <v>1036</v>
      </c>
      <c r="B589" s="1">
        <v>45192</v>
      </c>
      <c r="C589" t="s">
        <v>14</v>
      </c>
      <c r="D589" t="s">
        <v>15</v>
      </c>
      <c r="E589" s="2">
        <f>Table1[[#This Row],[Quantity_Sold]] * Table1[[#This Row],[Unit_Price]] * (1 - (Table1[[#This Row],[Discount]] / 100))</f>
        <v>166409.67982799959</v>
      </c>
      <c r="F589" s="2">
        <f>Table1[[#This Row],[Quantity_Sold]] * ((Table1[[#This Row],[Unit_Price]] * (1 - (Table1[[#This Row],[Discount]] / 100))) - Table1[[#This Row],[Unit_Cost]])</f>
        <v>17333.619827999599</v>
      </c>
      <c r="G589" s="3">
        <v>42</v>
      </c>
      <c r="H589" t="s">
        <v>16</v>
      </c>
      <c r="I589">
        <v>3549.43</v>
      </c>
      <c r="J589" s="2">
        <v>3967.6899999999901</v>
      </c>
      <c r="K589" t="s">
        <v>30</v>
      </c>
      <c r="L589" s="4">
        <v>0.14000000000000001</v>
      </c>
      <c r="M589" t="s">
        <v>27</v>
      </c>
      <c r="N589" t="s">
        <v>19</v>
      </c>
      <c r="O589" t="s">
        <v>20</v>
      </c>
    </row>
    <row r="590" spans="1:15" x14ac:dyDescent="0.25">
      <c r="A590" s="3">
        <v>1010</v>
      </c>
      <c r="B590" s="1">
        <v>45285</v>
      </c>
      <c r="C590" t="s">
        <v>24</v>
      </c>
      <c r="D590" t="s">
        <v>25</v>
      </c>
      <c r="E590" s="2">
        <f>Table1[[#This Row],[Quantity_Sold]] * Table1[[#This Row],[Unit_Price]] * (1 - (Table1[[#This Row],[Discount]] / 100))</f>
        <v>105065.28486</v>
      </c>
      <c r="F590" s="2">
        <f>Table1[[#This Row],[Quantity_Sold]] * ((Table1[[#This Row],[Unit_Price]] * (1 - (Table1[[#This Row],[Discount]] / 100))) - Table1[[#This Row],[Unit_Cost]])</f>
        <v>6394.9848599999859</v>
      </c>
      <c r="G590" s="3">
        <v>30</v>
      </c>
      <c r="H590" t="s">
        <v>26</v>
      </c>
      <c r="I590">
        <v>3289.01</v>
      </c>
      <c r="J590" s="2">
        <v>3508.14</v>
      </c>
      <c r="K590" t="s">
        <v>30</v>
      </c>
      <c r="L590" s="4">
        <v>0.17</v>
      </c>
      <c r="M590" t="s">
        <v>27</v>
      </c>
      <c r="N590" t="s">
        <v>22</v>
      </c>
      <c r="O590" t="s">
        <v>28</v>
      </c>
    </row>
    <row r="591" spans="1:15" x14ac:dyDescent="0.25">
      <c r="A591" s="3">
        <v>1073</v>
      </c>
      <c r="B591" s="1">
        <v>45266</v>
      </c>
      <c r="C591" t="s">
        <v>42</v>
      </c>
      <c r="D591" t="s">
        <v>15</v>
      </c>
      <c r="E591" s="2">
        <f>Table1[[#This Row],[Quantity_Sold]] * Table1[[#This Row],[Unit_Price]] * (1 - (Table1[[#This Row],[Discount]] / 100))</f>
        <v>145238.344125</v>
      </c>
      <c r="F591" s="2">
        <f>Table1[[#This Row],[Quantity_Sold]] * ((Table1[[#This Row],[Unit_Price]] * (1 - (Table1[[#This Row],[Discount]] / 100))) - Table1[[#This Row],[Unit_Cost]])</f>
        <v>9800.2741250000108</v>
      </c>
      <c r="G591" s="3">
        <v>31</v>
      </c>
      <c r="H591" t="s">
        <v>26</v>
      </c>
      <c r="I591">
        <v>4368.97</v>
      </c>
      <c r="J591" s="2">
        <v>4696.8500000000004</v>
      </c>
      <c r="K591" t="s">
        <v>17</v>
      </c>
      <c r="L591" s="4">
        <v>0.25</v>
      </c>
      <c r="M591" t="s">
        <v>27</v>
      </c>
      <c r="N591" t="s">
        <v>22</v>
      </c>
      <c r="O591" t="s">
        <v>49</v>
      </c>
    </row>
    <row r="592" spans="1:15" x14ac:dyDescent="0.25">
      <c r="A592" s="3">
        <v>1024</v>
      </c>
      <c r="B592" s="1">
        <v>44991</v>
      </c>
      <c r="C592" t="s">
        <v>42</v>
      </c>
      <c r="D592" t="s">
        <v>25</v>
      </c>
      <c r="E592" s="2">
        <f>Table1[[#This Row],[Quantity_Sold]] * Table1[[#This Row],[Unit_Price]] * (1 - (Table1[[#This Row],[Discount]] / 100))</f>
        <v>56825.653079999654</v>
      </c>
      <c r="F592" s="2">
        <f>Table1[[#This Row],[Quantity_Sold]] * ((Table1[[#This Row],[Unit_Price]] * (1 - (Table1[[#This Row],[Discount]] / 100))) - Table1[[#This Row],[Unit_Cost]])</f>
        <v>12777.103079999655</v>
      </c>
      <c r="G592" s="3">
        <v>35</v>
      </c>
      <c r="H592" t="s">
        <v>35</v>
      </c>
      <c r="I592">
        <v>1258.53</v>
      </c>
      <c r="J592" s="2">
        <v>1624.8899999999901</v>
      </c>
      <c r="K592" t="s">
        <v>30</v>
      </c>
      <c r="L592" s="4">
        <v>0.08</v>
      </c>
      <c r="M592" t="s">
        <v>31</v>
      </c>
      <c r="N592" t="s">
        <v>19</v>
      </c>
      <c r="O592" t="s">
        <v>43</v>
      </c>
    </row>
    <row r="593" spans="1:15" x14ac:dyDescent="0.25">
      <c r="A593" s="3">
        <v>1064</v>
      </c>
      <c r="B593" s="1">
        <v>45103</v>
      </c>
      <c r="C593" t="s">
        <v>42</v>
      </c>
      <c r="D593" t="s">
        <v>15</v>
      </c>
      <c r="E593" s="2">
        <f>Table1[[#This Row],[Quantity_Sold]] * Table1[[#This Row],[Unit_Price]] * (1 - (Table1[[#This Row],[Discount]] / 100))</f>
        <v>54559.265963999998</v>
      </c>
      <c r="F593" s="2">
        <f>Table1[[#This Row],[Quantity_Sold]] * ((Table1[[#This Row],[Unit_Price]] * (1 - (Table1[[#This Row],[Discount]] / 100))) - Table1[[#This Row],[Unit_Cost]])</f>
        <v>6720.4259640000037</v>
      </c>
      <c r="G593" s="3">
        <v>21</v>
      </c>
      <c r="H593" t="s">
        <v>29</v>
      </c>
      <c r="I593">
        <v>2278.04</v>
      </c>
      <c r="J593" s="2">
        <v>2598.58</v>
      </c>
      <c r="K593" t="s">
        <v>17</v>
      </c>
      <c r="L593" s="4">
        <v>0.02</v>
      </c>
      <c r="M593" t="s">
        <v>31</v>
      </c>
      <c r="N593" t="s">
        <v>22</v>
      </c>
      <c r="O593" t="s">
        <v>49</v>
      </c>
    </row>
    <row r="594" spans="1:15" x14ac:dyDescent="0.25">
      <c r="A594" s="3">
        <v>1099</v>
      </c>
      <c r="B594" s="1">
        <v>44929</v>
      </c>
      <c r="C594" t="s">
        <v>14</v>
      </c>
      <c r="D594" t="s">
        <v>34</v>
      </c>
      <c r="E594" s="2">
        <f>Table1[[#This Row],[Quantity_Sold]] * Table1[[#This Row],[Unit_Price]] * (1 - (Table1[[#This Row],[Discount]] / 100))</f>
        <v>145755.96832999997</v>
      </c>
      <c r="F594" s="2">
        <f>Table1[[#This Row],[Quantity_Sold]] * ((Table1[[#This Row],[Unit_Price]] * (1 - (Table1[[#This Row],[Discount]] / 100))) - Table1[[#This Row],[Unit_Cost]])</f>
        <v>2137.6183299999711</v>
      </c>
      <c r="G594" s="3">
        <v>31</v>
      </c>
      <c r="H594" t="s">
        <v>16</v>
      </c>
      <c r="I594">
        <v>4632.8500000000004</v>
      </c>
      <c r="J594" s="2">
        <v>4711.7</v>
      </c>
      <c r="K594" t="s">
        <v>30</v>
      </c>
      <c r="L594" s="4">
        <v>0.21</v>
      </c>
      <c r="M594" t="s">
        <v>18</v>
      </c>
      <c r="N594" t="s">
        <v>22</v>
      </c>
      <c r="O594" t="s">
        <v>46</v>
      </c>
    </row>
    <row r="595" spans="1:15" x14ac:dyDescent="0.25">
      <c r="A595" s="3">
        <v>1049</v>
      </c>
      <c r="B595" s="1">
        <v>45068</v>
      </c>
      <c r="C595" t="s">
        <v>14</v>
      </c>
      <c r="D595" t="s">
        <v>34</v>
      </c>
      <c r="E595" s="2">
        <f>Table1[[#This Row],[Quantity_Sold]] * Table1[[#This Row],[Unit_Price]] * (1 - (Table1[[#This Row],[Discount]] / 100))</f>
        <v>67242.109068000005</v>
      </c>
      <c r="F595" s="2">
        <f>Table1[[#This Row],[Quantity_Sold]] * ((Table1[[#This Row],[Unit_Price]] * (1 - (Table1[[#This Row],[Discount]] / 100))) - Table1[[#This Row],[Unit_Cost]])</f>
        <v>4219.6790680000031</v>
      </c>
      <c r="G595" s="3">
        <v>19</v>
      </c>
      <c r="H595" t="s">
        <v>29</v>
      </c>
      <c r="I595">
        <v>3316.97</v>
      </c>
      <c r="J595" s="2">
        <v>3544.02</v>
      </c>
      <c r="K595" t="s">
        <v>17</v>
      </c>
      <c r="L595" s="4">
        <v>0.14000000000000001</v>
      </c>
      <c r="M595" t="s">
        <v>18</v>
      </c>
      <c r="N595" t="s">
        <v>19</v>
      </c>
      <c r="O595" t="s">
        <v>46</v>
      </c>
    </row>
    <row r="596" spans="1:15" x14ac:dyDescent="0.25">
      <c r="A596" s="3">
        <v>1099</v>
      </c>
      <c r="B596" s="1">
        <v>45084</v>
      </c>
      <c r="C596" t="s">
        <v>33</v>
      </c>
      <c r="D596" t="s">
        <v>34</v>
      </c>
      <c r="E596" s="2">
        <f>Table1[[#This Row],[Quantity_Sold]] * Table1[[#This Row],[Unit_Price]] * (1 - (Table1[[#This Row],[Discount]] / 100))</f>
        <v>69855.379849999998</v>
      </c>
      <c r="F596" s="2">
        <f>Table1[[#This Row],[Quantity_Sold]] * ((Table1[[#This Row],[Unit_Price]] * (1 - (Table1[[#This Row],[Discount]] / 100))) - Table1[[#This Row],[Unit_Cost]])</f>
        <v>8648.9798500000015</v>
      </c>
      <c r="G596" s="3">
        <v>31</v>
      </c>
      <c r="H596" t="s">
        <v>26</v>
      </c>
      <c r="I596">
        <v>1974.4</v>
      </c>
      <c r="J596" s="2">
        <v>2259.5</v>
      </c>
      <c r="K596" t="s">
        <v>30</v>
      </c>
      <c r="L596" s="4">
        <v>0.27</v>
      </c>
      <c r="M596" t="s">
        <v>18</v>
      </c>
      <c r="N596" t="s">
        <v>22</v>
      </c>
      <c r="O596" t="s">
        <v>36</v>
      </c>
    </row>
    <row r="597" spans="1:15" x14ac:dyDescent="0.25">
      <c r="A597" s="3">
        <v>1036</v>
      </c>
      <c r="B597" s="1">
        <v>45250</v>
      </c>
      <c r="C597" t="s">
        <v>42</v>
      </c>
      <c r="D597" t="s">
        <v>34</v>
      </c>
      <c r="E597" s="2">
        <f>Table1[[#This Row],[Quantity_Sold]] * Table1[[#This Row],[Unit_Price]] * (1 - (Table1[[#This Row],[Discount]] / 100))</f>
        <v>35944.098943999998</v>
      </c>
      <c r="F597" s="2">
        <f>Table1[[#This Row],[Quantity_Sold]] * ((Table1[[#This Row],[Unit_Price]] * (1 - (Table1[[#This Row],[Discount]] / 100))) - Table1[[#This Row],[Unit_Cost]])</f>
        <v>13528.418943999997</v>
      </c>
      <c r="G597" s="3">
        <v>32</v>
      </c>
      <c r="H597" t="s">
        <v>29</v>
      </c>
      <c r="I597">
        <v>700.49</v>
      </c>
      <c r="J597" s="2">
        <v>1126.52</v>
      </c>
      <c r="K597" t="s">
        <v>30</v>
      </c>
      <c r="L597" s="4">
        <v>0.28999999999999998</v>
      </c>
      <c r="M597" t="s">
        <v>31</v>
      </c>
      <c r="N597" t="s">
        <v>22</v>
      </c>
      <c r="O597" t="s">
        <v>52</v>
      </c>
    </row>
    <row r="598" spans="1:15" x14ac:dyDescent="0.25">
      <c r="A598" s="3">
        <v>1082</v>
      </c>
      <c r="B598" s="1">
        <v>45072</v>
      </c>
      <c r="C598" t="s">
        <v>24</v>
      </c>
      <c r="D598" t="s">
        <v>25</v>
      </c>
      <c r="E598" s="2">
        <f>Table1[[#This Row],[Quantity_Sold]] * Table1[[#This Row],[Unit_Price]] * (1 - (Table1[[#This Row],[Discount]] / 100))</f>
        <v>3149.5959440000001</v>
      </c>
      <c r="F598" s="2">
        <f>Table1[[#This Row],[Quantity_Sold]] * ((Table1[[#This Row],[Unit_Price]] * (1 - (Table1[[#This Row],[Discount]] / 100))) - Table1[[#This Row],[Unit_Cost]])</f>
        <v>450.99594400000024</v>
      </c>
      <c r="G598" s="3">
        <v>2</v>
      </c>
      <c r="H598" t="s">
        <v>16</v>
      </c>
      <c r="I598">
        <v>1349.3</v>
      </c>
      <c r="J598" s="2">
        <v>1576.69</v>
      </c>
      <c r="K598" t="s">
        <v>17</v>
      </c>
      <c r="L598" s="4">
        <v>0.12</v>
      </c>
      <c r="M598" t="s">
        <v>31</v>
      </c>
      <c r="N598" t="s">
        <v>19</v>
      </c>
      <c r="O598" t="s">
        <v>28</v>
      </c>
    </row>
    <row r="599" spans="1:15" x14ac:dyDescent="0.25">
      <c r="A599" s="3">
        <v>1096</v>
      </c>
      <c r="B599" s="1">
        <v>45219</v>
      </c>
      <c r="C599" t="s">
        <v>24</v>
      </c>
      <c r="D599" t="s">
        <v>25</v>
      </c>
      <c r="E599" s="2">
        <f>Table1[[#This Row],[Quantity_Sold]] * Table1[[#This Row],[Unit_Price]] * (1 - (Table1[[#This Row],[Discount]] / 100))</f>
        <v>33831.453479999996</v>
      </c>
      <c r="F599" s="2">
        <f>Table1[[#This Row],[Quantity_Sold]] * ((Table1[[#This Row],[Unit_Price]] * (1 - (Table1[[#This Row],[Discount]] / 100))) - Table1[[#This Row],[Unit_Cost]])</f>
        <v>4561.2534800000003</v>
      </c>
      <c r="G599" s="3">
        <v>10</v>
      </c>
      <c r="H599" t="s">
        <v>29</v>
      </c>
      <c r="I599">
        <v>2927.02</v>
      </c>
      <c r="J599" s="2">
        <v>3387.21</v>
      </c>
      <c r="K599" t="s">
        <v>17</v>
      </c>
      <c r="L599" s="4">
        <v>0.12</v>
      </c>
      <c r="M599" t="s">
        <v>18</v>
      </c>
      <c r="N599" t="s">
        <v>22</v>
      </c>
      <c r="O599" t="s">
        <v>28</v>
      </c>
    </row>
    <row r="600" spans="1:15" x14ac:dyDescent="0.25">
      <c r="A600" s="3">
        <v>1024</v>
      </c>
      <c r="B600" s="1">
        <v>45079</v>
      </c>
      <c r="C600" t="s">
        <v>42</v>
      </c>
      <c r="D600" t="s">
        <v>21</v>
      </c>
      <c r="E600" s="2">
        <f>Table1[[#This Row],[Quantity_Sold]] * Table1[[#This Row],[Unit_Price]] * (1 - (Table1[[#This Row],[Discount]] / 100))</f>
        <v>7652.2262959999998</v>
      </c>
      <c r="F600" s="2">
        <f>Table1[[#This Row],[Quantity_Sold]] * ((Table1[[#This Row],[Unit_Price]] * (1 - (Table1[[#This Row],[Discount]] / 100))) - Table1[[#This Row],[Unit_Cost]])</f>
        <v>442.36629600000015</v>
      </c>
      <c r="G600" s="3">
        <v>2</v>
      </c>
      <c r="H600" t="s">
        <v>16</v>
      </c>
      <c r="I600">
        <v>3604.93</v>
      </c>
      <c r="J600" s="2">
        <v>3830.71</v>
      </c>
      <c r="K600" t="s">
        <v>17</v>
      </c>
      <c r="L600" s="4">
        <v>0.12</v>
      </c>
      <c r="M600" t="s">
        <v>31</v>
      </c>
      <c r="N600" t="s">
        <v>19</v>
      </c>
      <c r="O600" t="s">
        <v>51</v>
      </c>
    </row>
    <row r="601" spans="1:15" x14ac:dyDescent="0.25">
      <c r="A601" s="3">
        <v>1023</v>
      </c>
      <c r="B601" s="1">
        <v>45119</v>
      </c>
      <c r="C601" t="s">
        <v>42</v>
      </c>
      <c r="D601" t="s">
        <v>15</v>
      </c>
      <c r="E601" s="2">
        <f>Table1[[#This Row],[Quantity_Sold]] * Table1[[#This Row],[Unit_Price]] * (1 - (Table1[[#This Row],[Discount]] / 100))</f>
        <v>1887.6904199999999</v>
      </c>
      <c r="F601" s="2">
        <f>Table1[[#This Row],[Quantity_Sold]] * ((Table1[[#This Row],[Unit_Price]] * (1 - (Table1[[#This Row],[Discount]] / 100))) - Table1[[#This Row],[Unit_Cost]])</f>
        <v>555.91041999999993</v>
      </c>
      <c r="G601" s="3">
        <v>2</v>
      </c>
      <c r="H601" t="s">
        <v>26</v>
      </c>
      <c r="I601">
        <v>665.89</v>
      </c>
      <c r="J601" s="2">
        <v>944.79</v>
      </c>
      <c r="K601" t="s">
        <v>30</v>
      </c>
      <c r="L601" s="4">
        <v>0.1</v>
      </c>
      <c r="M601" t="s">
        <v>31</v>
      </c>
      <c r="N601" t="s">
        <v>22</v>
      </c>
      <c r="O601" t="s">
        <v>49</v>
      </c>
    </row>
    <row r="602" spans="1:15" x14ac:dyDescent="0.25">
      <c r="A602" s="3">
        <v>1062</v>
      </c>
      <c r="B602" s="1">
        <v>44999</v>
      </c>
      <c r="C602" t="s">
        <v>42</v>
      </c>
      <c r="D602" t="s">
        <v>34</v>
      </c>
      <c r="E602" s="2">
        <f>Table1[[#This Row],[Quantity_Sold]] * Table1[[#This Row],[Unit_Price]] * (1 - (Table1[[#This Row],[Discount]] / 100))</f>
        <v>81847.875912000003</v>
      </c>
      <c r="F602" s="2">
        <f>Table1[[#This Row],[Quantity_Sold]] * ((Table1[[#This Row],[Unit_Price]] * (1 - (Table1[[#This Row],[Discount]] / 100))) - Table1[[#This Row],[Unit_Cost]])</f>
        <v>9415.6359119999979</v>
      </c>
      <c r="G602" s="3">
        <v>24</v>
      </c>
      <c r="H602" t="s">
        <v>26</v>
      </c>
      <c r="I602">
        <v>3018.01</v>
      </c>
      <c r="J602" s="2">
        <v>3418.19</v>
      </c>
      <c r="K602" t="s">
        <v>17</v>
      </c>
      <c r="L602" s="4">
        <v>0.23</v>
      </c>
      <c r="M602" t="s">
        <v>27</v>
      </c>
      <c r="N602" t="s">
        <v>22</v>
      </c>
      <c r="O602" t="s">
        <v>52</v>
      </c>
    </row>
    <row r="603" spans="1:15" x14ac:dyDescent="0.25">
      <c r="A603" s="3">
        <v>1096</v>
      </c>
      <c r="B603" s="1">
        <v>45231</v>
      </c>
      <c r="C603" t="s">
        <v>14</v>
      </c>
      <c r="D603" t="s">
        <v>25</v>
      </c>
      <c r="E603" s="2">
        <f>Table1[[#This Row],[Quantity_Sold]] * Table1[[#This Row],[Unit_Price]] * (1 - (Table1[[#This Row],[Discount]] / 100))</f>
        <v>52068.945345999833</v>
      </c>
      <c r="F603" s="2">
        <f>Table1[[#This Row],[Quantity_Sold]] * ((Table1[[#This Row],[Unit_Price]] * (1 - (Table1[[#This Row],[Discount]] / 100))) - Table1[[#This Row],[Unit_Cost]])</f>
        <v>4906.8653459998377</v>
      </c>
      <c r="G603" s="3">
        <v>17</v>
      </c>
      <c r="H603" t="s">
        <v>26</v>
      </c>
      <c r="I603">
        <v>2774.24</v>
      </c>
      <c r="J603" s="2">
        <v>3069.9399999999901</v>
      </c>
      <c r="K603" t="s">
        <v>17</v>
      </c>
      <c r="L603" s="4">
        <v>0.23</v>
      </c>
      <c r="M603" t="s">
        <v>27</v>
      </c>
      <c r="N603" t="s">
        <v>22</v>
      </c>
      <c r="O603" t="s">
        <v>32</v>
      </c>
    </row>
    <row r="604" spans="1:15" x14ac:dyDescent="0.25">
      <c r="A604" s="3">
        <v>1037</v>
      </c>
      <c r="B604" s="1">
        <v>45270</v>
      </c>
      <c r="C604" t="s">
        <v>14</v>
      </c>
      <c r="D604" t="s">
        <v>15</v>
      </c>
      <c r="E604" s="2">
        <f>Table1[[#This Row],[Quantity_Sold]] * Table1[[#This Row],[Unit_Price]] * (1 - (Table1[[#This Row],[Discount]] / 100))</f>
        <v>98249.138368000014</v>
      </c>
      <c r="F604" s="2">
        <f>Table1[[#This Row],[Quantity_Sold]] * ((Table1[[#This Row],[Unit_Price]] * (1 - (Table1[[#This Row],[Discount]] / 100))) - Table1[[#This Row],[Unit_Cost]])</f>
        <v>15238.578368000017</v>
      </c>
      <c r="G604" s="3">
        <v>32</v>
      </c>
      <c r="H604" t="s">
        <v>35</v>
      </c>
      <c r="I604">
        <v>2594.08</v>
      </c>
      <c r="J604" s="2">
        <v>3074.59</v>
      </c>
      <c r="K604" t="s">
        <v>30</v>
      </c>
      <c r="L604" s="4">
        <v>0.14000000000000001</v>
      </c>
      <c r="M604" t="s">
        <v>18</v>
      </c>
      <c r="N604" t="s">
        <v>22</v>
      </c>
      <c r="O604" t="s">
        <v>20</v>
      </c>
    </row>
    <row r="605" spans="1:15" x14ac:dyDescent="0.25">
      <c r="A605" s="3">
        <v>1012</v>
      </c>
      <c r="B605" s="1">
        <v>45066</v>
      </c>
      <c r="C605" t="s">
        <v>14</v>
      </c>
      <c r="D605" t="s">
        <v>15</v>
      </c>
      <c r="E605" s="2">
        <f>Table1[[#This Row],[Quantity_Sold]] * Table1[[#This Row],[Unit_Price]] * (1 - (Table1[[#This Row],[Discount]] / 100))</f>
        <v>60788.640528000004</v>
      </c>
      <c r="F605" s="2">
        <f>Table1[[#This Row],[Quantity_Sold]] * ((Table1[[#This Row],[Unit_Price]] * (1 - (Table1[[#This Row],[Discount]] / 100))) - Table1[[#This Row],[Unit_Cost]])</f>
        <v>5330.8805280000015</v>
      </c>
      <c r="G605" s="3">
        <v>16</v>
      </c>
      <c r="H605" t="s">
        <v>26</v>
      </c>
      <c r="I605">
        <v>3466.11</v>
      </c>
      <c r="J605" s="2">
        <v>3799.67</v>
      </c>
      <c r="K605" t="s">
        <v>17</v>
      </c>
      <c r="L605" s="4">
        <v>0.01</v>
      </c>
      <c r="M605" t="s">
        <v>18</v>
      </c>
      <c r="N605" t="s">
        <v>22</v>
      </c>
      <c r="O605" t="s">
        <v>20</v>
      </c>
    </row>
    <row r="606" spans="1:15" x14ac:dyDescent="0.25">
      <c r="A606" s="3">
        <v>1055</v>
      </c>
      <c r="B606" s="1">
        <v>45113</v>
      </c>
      <c r="C606" t="s">
        <v>38</v>
      </c>
      <c r="D606" t="s">
        <v>25</v>
      </c>
      <c r="E606" s="2">
        <f>Table1[[#This Row],[Quantity_Sold]] * Table1[[#This Row],[Unit_Price]] * (1 - (Table1[[#This Row],[Discount]] / 100))</f>
        <v>71319.914256000004</v>
      </c>
      <c r="F606" s="2">
        <f>Table1[[#This Row],[Quantity_Sold]] * ((Table1[[#This Row],[Unit_Price]] * (1 - (Table1[[#This Row],[Discount]] / 100))) - Table1[[#This Row],[Unit_Cost]])</f>
        <v>4193.8342560000019</v>
      </c>
      <c r="G606" s="3">
        <v>16</v>
      </c>
      <c r="H606" t="s">
        <v>29</v>
      </c>
      <c r="I606">
        <v>4195.38</v>
      </c>
      <c r="J606" s="2">
        <v>4461.51</v>
      </c>
      <c r="K606" t="s">
        <v>17</v>
      </c>
      <c r="L606" s="4">
        <v>0.09</v>
      </c>
      <c r="M606" t="s">
        <v>27</v>
      </c>
      <c r="N606" t="s">
        <v>19</v>
      </c>
      <c r="O606" t="s">
        <v>39</v>
      </c>
    </row>
    <row r="607" spans="1:15" x14ac:dyDescent="0.25">
      <c r="A607" s="3">
        <v>1013</v>
      </c>
      <c r="B607" s="1">
        <v>45219</v>
      </c>
      <c r="C607" t="s">
        <v>24</v>
      </c>
      <c r="D607" t="s">
        <v>34</v>
      </c>
      <c r="E607" s="2">
        <f>Table1[[#This Row],[Quantity_Sold]] * Table1[[#This Row],[Unit_Price]] * (1 - (Table1[[#This Row],[Discount]] / 100))</f>
        <v>76767.407095999995</v>
      </c>
      <c r="F607" s="2">
        <f>Table1[[#This Row],[Quantity_Sold]] * ((Table1[[#This Row],[Unit_Price]] * (1 - (Table1[[#This Row],[Discount]] / 100))) - Table1[[#This Row],[Unit_Cost]])</f>
        <v>922.60709599999655</v>
      </c>
      <c r="G607" s="3">
        <v>46</v>
      </c>
      <c r="H607" t="s">
        <v>35</v>
      </c>
      <c r="I607">
        <v>1648.8</v>
      </c>
      <c r="J607" s="2">
        <v>1670.36</v>
      </c>
      <c r="K607" t="s">
        <v>17</v>
      </c>
      <c r="L607" s="4">
        <v>0.09</v>
      </c>
      <c r="M607" t="s">
        <v>31</v>
      </c>
      <c r="N607" t="s">
        <v>22</v>
      </c>
      <c r="O607" t="s">
        <v>50</v>
      </c>
    </row>
    <row r="608" spans="1:15" x14ac:dyDescent="0.25">
      <c r="A608" s="3">
        <v>1023</v>
      </c>
      <c r="B608" s="1">
        <v>44987</v>
      </c>
      <c r="C608" t="s">
        <v>24</v>
      </c>
      <c r="D608" t="s">
        <v>21</v>
      </c>
      <c r="E608" s="2">
        <f>Table1[[#This Row],[Quantity_Sold]] * Table1[[#This Row],[Unit_Price]] * (1 - (Table1[[#This Row],[Discount]] / 100))</f>
        <v>181433.77137599961</v>
      </c>
      <c r="F608" s="2">
        <f>Table1[[#This Row],[Quantity_Sold]] * ((Table1[[#This Row],[Unit_Price]] * (1 - (Table1[[#This Row],[Discount]] / 100))) - Table1[[#This Row],[Unit_Cost]])</f>
        <v>7859.9813759996296</v>
      </c>
      <c r="G608" s="3">
        <v>39</v>
      </c>
      <c r="H608" t="s">
        <v>26</v>
      </c>
      <c r="I608">
        <v>4450.6099999999997</v>
      </c>
      <c r="J608" s="2">
        <v>4663.3399999999901</v>
      </c>
      <c r="K608" t="s">
        <v>30</v>
      </c>
      <c r="L608" s="4">
        <v>0.24</v>
      </c>
      <c r="M608" t="s">
        <v>18</v>
      </c>
      <c r="N608" t="s">
        <v>22</v>
      </c>
      <c r="O608" t="s">
        <v>47</v>
      </c>
    </row>
    <row r="609" spans="1:15" x14ac:dyDescent="0.25">
      <c r="A609" s="3">
        <v>1089</v>
      </c>
      <c r="B609" s="1">
        <v>45124</v>
      </c>
      <c r="C609" t="s">
        <v>33</v>
      </c>
      <c r="D609" t="s">
        <v>15</v>
      </c>
      <c r="E609" s="2">
        <f>Table1[[#This Row],[Quantity_Sold]] * Table1[[#This Row],[Unit_Price]] * (1 - (Table1[[#This Row],[Discount]] / 100))</f>
        <v>31045.553539</v>
      </c>
      <c r="F609" s="2">
        <f>Table1[[#This Row],[Quantity_Sold]] * ((Table1[[#This Row],[Unit_Price]] * (1 - (Table1[[#This Row],[Discount]] / 100))) - Table1[[#This Row],[Unit_Cost]])</f>
        <v>4846.2135390000003</v>
      </c>
      <c r="G609" s="3">
        <v>31</v>
      </c>
      <c r="H609" t="s">
        <v>29</v>
      </c>
      <c r="I609">
        <v>845.14</v>
      </c>
      <c r="J609" s="2">
        <v>1001.77</v>
      </c>
      <c r="K609" t="s">
        <v>30</v>
      </c>
      <c r="L609" s="4">
        <v>0.03</v>
      </c>
      <c r="M609" t="s">
        <v>18</v>
      </c>
      <c r="N609" t="s">
        <v>19</v>
      </c>
      <c r="O609" t="s">
        <v>53</v>
      </c>
    </row>
    <row r="610" spans="1:15" x14ac:dyDescent="0.25">
      <c r="A610" s="3">
        <v>1099</v>
      </c>
      <c r="B610" s="1">
        <v>45221</v>
      </c>
      <c r="C610" t="s">
        <v>14</v>
      </c>
      <c r="D610" t="s">
        <v>21</v>
      </c>
      <c r="E610" s="2">
        <f>Table1[[#This Row],[Quantity_Sold]] * Table1[[#This Row],[Unit_Price]] * (1 - (Table1[[#This Row],[Discount]] / 100))</f>
        <v>55038.310272000002</v>
      </c>
      <c r="F610" s="2">
        <f>Table1[[#This Row],[Quantity_Sold]] * ((Table1[[#This Row],[Unit_Price]] * (1 - (Table1[[#This Row],[Discount]] / 100))) - Table1[[#This Row],[Unit_Cost]])</f>
        <v>16060.100272000001</v>
      </c>
      <c r="G610" s="3">
        <v>43</v>
      </c>
      <c r="H610" t="s">
        <v>29</v>
      </c>
      <c r="I610">
        <v>906.47</v>
      </c>
      <c r="J610" s="2">
        <v>1283.04</v>
      </c>
      <c r="K610" t="s">
        <v>30</v>
      </c>
      <c r="L610" s="4">
        <v>0.24</v>
      </c>
      <c r="M610" t="s">
        <v>18</v>
      </c>
      <c r="N610" t="s">
        <v>19</v>
      </c>
      <c r="O610" t="s">
        <v>23</v>
      </c>
    </row>
    <row r="611" spans="1:15" x14ac:dyDescent="0.25">
      <c r="A611" s="3">
        <v>1030</v>
      </c>
      <c r="B611" s="1">
        <v>45245</v>
      </c>
      <c r="C611" t="s">
        <v>38</v>
      </c>
      <c r="D611" t="s">
        <v>34</v>
      </c>
      <c r="E611" s="2">
        <f>Table1[[#This Row],[Quantity_Sold]] * Table1[[#This Row],[Unit_Price]] * (1 - (Table1[[#This Row],[Discount]] / 100))</f>
        <v>35510.756159999997</v>
      </c>
      <c r="F611" s="2">
        <f>Table1[[#This Row],[Quantity_Sold]] * ((Table1[[#This Row],[Unit_Price]] * (1 - (Table1[[#This Row],[Discount]] / 100))) - Table1[[#This Row],[Unit_Cost]])</f>
        <v>2618.2761599999994</v>
      </c>
      <c r="G611" s="3">
        <v>24</v>
      </c>
      <c r="H611" t="s">
        <v>29</v>
      </c>
      <c r="I611">
        <v>1370.52</v>
      </c>
      <c r="J611" s="2">
        <v>1482.58</v>
      </c>
      <c r="K611" t="s">
        <v>17</v>
      </c>
      <c r="L611" s="4">
        <v>0.2</v>
      </c>
      <c r="M611" t="s">
        <v>31</v>
      </c>
      <c r="N611" t="s">
        <v>22</v>
      </c>
      <c r="O611" t="s">
        <v>48</v>
      </c>
    </row>
    <row r="612" spans="1:15" x14ac:dyDescent="0.25">
      <c r="A612" s="3">
        <v>1017</v>
      </c>
      <c r="B612" s="1">
        <v>45228</v>
      </c>
      <c r="C612" t="s">
        <v>38</v>
      </c>
      <c r="D612" t="s">
        <v>34</v>
      </c>
      <c r="E612" s="2">
        <f>Table1[[#This Row],[Quantity_Sold]] * Table1[[#This Row],[Unit_Price]] * (1 - (Table1[[#This Row],[Discount]] / 100))</f>
        <v>750.58507199999997</v>
      </c>
      <c r="F612" s="2">
        <f>Table1[[#This Row],[Quantity_Sold]] * ((Table1[[#This Row],[Unit_Price]] * (1 - (Table1[[#This Row],[Discount]] / 100))) - Table1[[#This Row],[Unit_Cost]])</f>
        <v>108.90507200000002</v>
      </c>
      <c r="G612" s="3">
        <v>1</v>
      </c>
      <c r="H612" t="s">
        <v>16</v>
      </c>
      <c r="I612">
        <v>641.67999999999995</v>
      </c>
      <c r="J612" s="2">
        <v>752.24</v>
      </c>
      <c r="K612" t="s">
        <v>30</v>
      </c>
      <c r="L612" s="4">
        <v>0.22</v>
      </c>
      <c r="M612" t="s">
        <v>27</v>
      </c>
      <c r="N612" t="s">
        <v>19</v>
      </c>
      <c r="O612" t="s">
        <v>48</v>
      </c>
    </row>
    <row r="613" spans="1:15" x14ac:dyDescent="0.25">
      <c r="A613" s="3">
        <v>1062</v>
      </c>
      <c r="B613" s="1">
        <v>45270</v>
      </c>
      <c r="C613" t="s">
        <v>24</v>
      </c>
      <c r="D613" t="s">
        <v>21</v>
      </c>
      <c r="E613" s="2">
        <f>Table1[[#This Row],[Quantity_Sold]] * Table1[[#This Row],[Unit_Price]] * (1 - (Table1[[#This Row],[Discount]] / 100))</f>
        <v>14203.850957999892</v>
      </c>
      <c r="F613" s="2">
        <f>Table1[[#This Row],[Quantity_Sold]] * ((Table1[[#This Row],[Unit_Price]] * (1 - (Table1[[#This Row],[Discount]] / 100))) - Table1[[#This Row],[Unit_Cost]])</f>
        <v>1112.970957999891</v>
      </c>
      <c r="G613" s="3">
        <v>11</v>
      </c>
      <c r="H613" t="s">
        <v>35</v>
      </c>
      <c r="I613">
        <v>1190.08</v>
      </c>
      <c r="J613" s="2">
        <v>1292.9399999999901</v>
      </c>
      <c r="K613" t="s">
        <v>17</v>
      </c>
      <c r="L613" s="4">
        <v>0.13</v>
      </c>
      <c r="M613" t="s">
        <v>18</v>
      </c>
      <c r="N613" t="s">
        <v>22</v>
      </c>
      <c r="O613" t="s">
        <v>47</v>
      </c>
    </row>
    <row r="614" spans="1:15" x14ac:dyDescent="0.25">
      <c r="A614" s="3">
        <v>1084</v>
      </c>
      <c r="B614" s="1">
        <v>44937</v>
      </c>
      <c r="C614" t="s">
        <v>14</v>
      </c>
      <c r="D614" t="s">
        <v>34</v>
      </c>
      <c r="E614" s="2">
        <f>Table1[[#This Row],[Quantity_Sold]] * Table1[[#This Row],[Unit_Price]] * (1 - (Table1[[#This Row],[Discount]] / 100))</f>
        <v>13586.86182</v>
      </c>
      <c r="F614" s="2">
        <f>Table1[[#This Row],[Quantity_Sold]] * ((Table1[[#This Row],[Unit_Price]] * (1 - (Table1[[#This Row],[Discount]] / 100))) - Table1[[#This Row],[Unit_Cost]])</f>
        <v>1475.3218200000001</v>
      </c>
      <c r="G614" s="3">
        <v>21</v>
      </c>
      <c r="H614" t="s">
        <v>29</v>
      </c>
      <c r="I614">
        <v>576.74</v>
      </c>
      <c r="J614" s="2">
        <v>648.29</v>
      </c>
      <c r="K614" t="s">
        <v>17</v>
      </c>
      <c r="L614" s="4">
        <v>0.2</v>
      </c>
      <c r="M614" t="s">
        <v>27</v>
      </c>
      <c r="N614" t="s">
        <v>19</v>
      </c>
      <c r="O614" t="s">
        <v>46</v>
      </c>
    </row>
    <row r="615" spans="1:15" x14ac:dyDescent="0.25">
      <c r="A615" s="3">
        <v>1089</v>
      </c>
      <c r="B615" s="1">
        <v>44988</v>
      </c>
      <c r="C615" t="s">
        <v>33</v>
      </c>
      <c r="D615" t="s">
        <v>15</v>
      </c>
      <c r="E615" s="2">
        <f>Table1[[#This Row],[Quantity_Sold]] * Table1[[#This Row],[Unit_Price]] * (1 - (Table1[[#This Row],[Discount]] / 100))</f>
        <v>17089.423568000002</v>
      </c>
      <c r="F615" s="2">
        <f>Table1[[#This Row],[Quantity_Sold]] * ((Table1[[#This Row],[Unit_Price]] * (1 - (Table1[[#This Row],[Discount]] / 100))) - Table1[[#This Row],[Unit_Cost]])</f>
        <v>618.74356800000169</v>
      </c>
      <c r="G615" s="3">
        <v>4</v>
      </c>
      <c r="H615" t="s">
        <v>16</v>
      </c>
      <c r="I615">
        <v>4117.67</v>
      </c>
      <c r="J615" s="2">
        <v>4280.0600000000004</v>
      </c>
      <c r="K615" t="s">
        <v>17</v>
      </c>
      <c r="L615" s="4">
        <v>0.18</v>
      </c>
      <c r="M615" t="s">
        <v>27</v>
      </c>
      <c r="N615" t="s">
        <v>19</v>
      </c>
      <c r="O615" t="s">
        <v>53</v>
      </c>
    </row>
    <row r="616" spans="1:15" x14ac:dyDescent="0.25">
      <c r="A616" s="3">
        <v>1086</v>
      </c>
      <c r="B616" s="1">
        <v>45259</v>
      </c>
      <c r="C616" t="s">
        <v>14</v>
      </c>
      <c r="D616" t="s">
        <v>21</v>
      </c>
      <c r="E616" s="2">
        <f>Table1[[#This Row],[Quantity_Sold]] * Table1[[#This Row],[Unit_Price]] * (1 - (Table1[[#This Row],[Discount]] / 100))</f>
        <v>8254.9698000000008</v>
      </c>
      <c r="F616" s="2">
        <f>Table1[[#This Row],[Quantity_Sold]] * ((Table1[[#This Row],[Unit_Price]] * (1 - (Table1[[#This Row],[Discount]] / 100))) - Table1[[#This Row],[Unit_Cost]])</f>
        <v>3089.6698000000006</v>
      </c>
      <c r="G616" s="3">
        <v>7</v>
      </c>
      <c r="H616" t="s">
        <v>26</v>
      </c>
      <c r="I616">
        <v>737.9</v>
      </c>
      <c r="J616" s="2">
        <v>1182</v>
      </c>
      <c r="K616" t="s">
        <v>30</v>
      </c>
      <c r="L616" s="4">
        <v>0.23</v>
      </c>
      <c r="M616" t="s">
        <v>31</v>
      </c>
      <c r="N616" t="s">
        <v>22</v>
      </c>
      <c r="O616" t="s">
        <v>23</v>
      </c>
    </row>
    <row r="617" spans="1:15" x14ac:dyDescent="0.25">
      <c r="A617" s="3">
        <v>1013</v>
      </c>
      <c r="B617" s="1">
        <v>45152</v>
      </c>
      <c r="C617" t="s">
        <v>42</v>
      </c>
      <c r="D617" t="s">
        <v>34</v>
      </c>
      <c r="E617" s="2">
        <f>Table1[[#This Row],[Quantity_Sold]] * Table1[[#This Row],[Unit_Price]] * (1 - (Table1[[#This Row],[Discount]] / 100))</f>
        <v>107469.687546</v>
      </c>
      <c r="F617" s="2">
        <f>Table1[[#This Row],[Quantity_Sold]] * ((Table1[[#This Row],[Unit_Price]] * (1 - (Table1[[#This Row],[Discount]] / 100))) - Table1[[#This Row],[Unit_Cost]])</f>
        <v>9992.5675460000148</v>
      </c>
      <c r="G617" s="3">
        <v>26</v>
      </c>
      <c r="H617" t="s">
        <v>29</v>
      </c>
      <c r="I617">
        <v>3749.12</v>
      </c>
      <c r="J617" s="2">
        <v>4138.83</v>
      </c>
      <c r="K617" t="s">
        <v>30</v>
      </c>
      <c r="L617" s="4">
        <v>0.13</v>
      </c>
      <c r="M617" t="s">
        <v>31</v>
      </c>
      <c r="N617" t="s">
        <v>19</v>
      </c>
      <c r="O617" t="s">
        <v>52</v>
      </c>
    </row>
    <row r="618" spans="1:15" x14ac:dyDescent="0.25">
      <c r="A618" s="3">
        <v>1059</v>
      </c>
      <c r="B618" s="1">
        <v>45079</v>
      </c>
      <c r="C618" t="s">
        <v>14</v>
      </c>
      <c r="D618" t="s">
        <v>21</v>
      </c>
      <c r="E618" s="2">
        <f>Table1[[#This Row],[Quantity_Sold]] * Table1[[#This Row],[Unit_Price]] * (1 - (Table1[[#This Row],[Discount]] / 100))</f>
        <v>30856.420448000004</v>
      </c>
      <c r="F618" s="2">
        <f>Table1[[#This Row],[Quantity_Sold]] * ((Table1[[#This Row],[Unit_Price]] * (1 - (Table1[[#This Row],[Discount]] / 100))) - Table1[[#This Row],[Unit_Cost]])</f>
        <v>17359.430448000006</v>
      </c>
      <c r="G618" s="3">
        <v>47</v>
      </c>
      <c r="H618" t="s">
        <v>16</v>
      </c>
      <c r="I618">
        <v>287.17</v>
      </c>
      <c r="J618" s="2">
        <v>657.44</v>
      </c>
      <c r="K618" t="s">
        <v>17</v>
      </c>
      <c r="L618" s="4">
        <v>0.14000000000000001</v>
      </c>
      <c r="M618" t="s">
        <v>31</v>
      </c>
      <c r="N618" t="s">
        <v>22</v>
      </c>
      <c r="O618" t="s">
        <v>23</v>
      </c>
    </row>
    <row r="619" spans="1:15" x14ac:dyDescent="0.25">
      <c r="A619" s="3">
        <v>1019</v>
      </c>
      <c r="B619" s="1">
        <v>45125</v>
      </c>
      <c r="C619" t="s">
        <v>42</v>
      </c>
      <c r="D619" t="s">
        <v>15</v>
      </c>
      <c r="E619" s="2">
        <f>Table1[[#This Row],[Quantity_Sold]] * Table1[[#This Row],[Unit_Price]] * (1 - (Table1[[#This Row],[Discount]] / 100))</f>
        <v>61633.233935999997</v>
      </c>
      <c r="F619" s="2">
        <f>Table1[[#This Row],[Quantity_Sold]] * ((Table1[[#This Row],[Unit_Price]] * (1 - (Table1[[#This Row],[Discount]] / 100))) - Table1[[#This Row],[Unit_Cost]])</f>
        <v>4691.073935999997</v>
      </c>
      <c r="G619" s="3">
        <v>12</v>
      </c>
      <c r="H619" t="s">
        <v>29</v>
      </c>
      <c r="I619">
        <v>4745.18</v>
      </c>
      <c r="J619" s="2">
        <v>5145.88</v>
      </c>
      <c r="K619" t="s">
        <v>17</v>
      </c>
      <c r="L619" s="4">
        <v>0.19</v>
      </c>
      <c r="M619" t="s">
        <v>31</v>
      </c>
      <c r="N619" t="s">
        <v>19</v>
      </c>
      <c r="O619" t="s">
        <v>49</v>
      </c>
    </row>
    <row r="620" spans="1:15" x14ac:dyDescent="0.25">
      <c r="A620" s="3">
        <v>1049</v>
      </c>
      <c r="B620" s="1">
        <v>44978</v>
      </c>
      <c r="C620" t="s">
        <v>42</v>
      </c>
      <c r="D620" t="s">
        <v>34</v>
      </c>
      <c r="E620" s="2">
        <f>Table1[[#This Row],[Quantity_Sold]] * Table1[[#This Row],[Unit_Price]] * (1 - (Table1[[#This Row],[Discount]] / 100))</f>
        <v>115045.226075</v>
      </c>
      <c r="F620" s="2">
        <f>Table1[[#This Row],[Quantity_Sold]] * ((Table1[[#This Row],[Unit_Price]] * (1 - (Table1[[#This Row],[Discount]] / 100))) - Table1[[#This Row],[Unit_Cost]])</f>
        <v>4367.7860750000054</v>
      </c>
      <c r="G620" s="3">
        <v>31</v>
      </c>
      <c r="H620" t="s">
        <v>35</v>
      </c>
      <c r="I620">
        <v>3570.24</v>
      </c>
      <c r="J620" s="2">
        <v>3712.25</v>
      </c>
      <c r="K620" t="s">
        <v>30</v>
      </c>
      <c r="L620" s="4">
        <v>0.03</v>
      </c>
      <c r="M620" t="s">
        <v>31</v>
      </c>
      <c r="N620" t="s">
        <v>19</v>
      </c>
      <c r="O620" t="s">
        <v>52</v>
      </c>
    </row>
    <row r="621" spans="1:15" x14ac:dyDescent="0.25">
      <c r="A621" s="3">
        <v>1100</v>
      </c>
      <c r="B621" s="1">
        <v>45186</v>
      </c>
      <c r="C621" t="s">
        <v>33</v>
      </c>
      <c r="D621" t="s">
        <v>15</v>
      </c>
      <c r="E621" s="2">
        <f>Table1[[#This Row],[Quantity_Sold]] * Table1[[#This Row],[Unit_Price]] * (1 - (Table1[[#This Row],[Discount]] / 100))</f>
        <v>8972.6503709999997</v>
      </c>
      <c r="F621" s="2">
        <f>Table1[[#This Row],[Quantity_Sold]] * ((Table1[[#This Row],[Unit_Price]] * (1 - (Table1[[#This Row],[Discount]] / 100))) - Table1[[#This Row],[Unit_Cost]])</f>
        <v>7550.7703709999996</v>
      </c>
      <c r="G621" s="3">
        <v>17</v>
      </c>
      <c r="H621" t="s">
        <v>35</v>
      </c>
      <c r="I621">
        <v>83.64</v>
      </c>
      <c r="J621" s="2">
        <v>528.49</v>
      </c>
      <c r="K621" t="s">
        <v>30</v>
      </c>
      <c r="L621" s="4">
        <v>0.13</v>
      </c>
      <c r="M621" t="s">
        <v>31</v>
      </c>
      <c r="N621" t="s">
        <v>19</v>
      </c>
      <c r="O621" t="s">
        <v>53</v>
      </c>
    </row>
    <row r="622" spans="1:15" x14ac:dyDescent="0.25">
      <c r="A622" s="3">
        <v>1012</v>
      </c>
      <c r="B622" s="1">
        <v>44985</v>
      </c>
      <c r="C622" t="s">
        <v>24</v>
      </c>
      <c r="D622" t="s">
        <v>34</v>
      </c>
      <c r="E622" s="2">
        <f>Table1[[#This Row],[Quantity_Sold]] * Table1[[#This Row],[Unit_Price]] * (1 - (Table1[[#This Row],[Discount]] / 100))</f>
        <v>128602.17899099999</v>
      </c>
      <c r="F622" s="2">
        <f>Table1[[#This Row],[Quantity_Sold]] * ((Table1[[#This Row],[Unit_Price]] * (1 - (Table1[[#This Row],[Discount]] / 100))) - Table1[[#This Row],[Unit_Cost]])</f>
        <v>2176.2089909999936</v>
      </c>
      <c r="G622" s="3">
        <v>33</v>
      </c>
      <c r="H622" t="s">
        <v>26</v>
      </c>
      <c r="I622">
        <v>3831.09</v>
      </c>
      <c r="J622" s="2">
        <v>3908.37</v>
      </c>
      <c r="K622" t="s">
        <v>30</v>
      </c>
      <c r="L622" s="4">
        <v>0.28999999999999998</v>
      </c>
      <c r="M622" t="s">
        <v>18</v>
      </c>
      <c r="N622" t="s">
        <v>22</v>
      </c>
      <c r="O622" t="s">
        <v>50</v>
      </c>
    </row>
    <row r="623" spans="1:15" x14ac:dyDescent="0.25">
      <c r="A623" s="3">
        <v>1061</v>
      </c>
      <c r="B623" s="1">
        <v>44998</v>
      </c>
      <c r="C623" t="s">
        <v>14</v>
      </c>
      <c r="D623" t="s">
        <v>25</v>
      </c>
      <c r="E623" s="2">
        <f>Table1[[#This Row],[Quantity_Sold]] * Table1[[#This Row],[Unit_Price]] * (1 - (Table1[[#This Row],[Discount]] / 100))</f>
        <v>30461.673528000003</v>
      </c>
      <c r="F623" s="2">
        <f>Table1[[#This Row],[Quantity_Sold]] * ((Table1[[#This Row],[Unit_Price]] * (1 - (Table1[[#This Row],[Discount]] / 100))) - Table1[[#This Row],[Unit_Cost]])</f>
        <v>1919.8635279999976</v>
      </c>
      <c r="G623" s="3">
        <v>11</v>
      </c>
      <c r="H623" t="s">
        <v>29</v>
      </c>
      <c r="I623">
        <v>2594.71</v>
      </c>
      <c r="J623" s="2">
        <v>2769.52</v>
      </c>
      <c r="K623" t="s">
        <v>17</v>
      </c>
      <c r="L623" s="4">
        <v>0.01</v>
      </c>
      <c r="M623" t="s">
        <v>27</v>
      </c>
      <c r="N623" t="s">
        <v>22</v>
      </c>
      <c r="O623" t="s">
        <v>32</v>
      </c>
    </row>
    <row r="624" spans="1:15" x14ac:dyDescent="0.25">
      <c r="A624" s="3">
        <v>1019</v>
      </c>
      <c r="B624" s="1">
        <v>45074</v>
      </c>
      <c r="C624" t="s">
        <v>42</v>
      </c>
      <c r="D624" t="s">
        <v>34</v>
      </c>
      <c r="E624" s="2">
        <f>Table1[[#This Row],[Quantity_Sold]] * Table1[[#This Row],[Unit_Price]] * (1 - (Table1[[#This Row],[Discount]] / 100))</f>
        <v>117644.384676</v>
      </c>
      <c r="F624" s="2">
        <f>Table1[[#This Row],[Quantity_Sold]] * ((Table1[[#This Row],[Unit_Price]] * (1 - (Table1[[#This Row],[Discount]] / 100))) - Table1[[#This Row],[Unit_Cost]])</f>
        <v>8224.3046760000016</v>
      </c>
      <c r="G624" s="3">
        <v>28</v>
      </c>
      <c r="H624" t="s">
        <v>16</v>
      </c>
      <c r="I624">
        <v>3907.86</v>
      </c>
      <c r="J624" s="2">
        <v>4205.37</v>
      </c>
      <c r="K624" t="s">
        <v>30</v>
      </c>
      <c r="L624" s="4">
        <v>0.09</v>
      </c>
      <c r="M624" t="s">
        <v>31</v>
      </c>
      <c r="N624" t="s">
        <v>19</v>
      </c>
      <c r="O624" t="s">
        <v>52</v>
      </c>
    </row>
    <row r="625" spans="1:15" x14ac:dyDescent="0.25">
      <c r="A625" s="3">
        <v>1076</v>
      </c>
      <c r="B625" s="1">
        <v>45275</v>
      </c>
      <c r="C625" t="s">
        <v>14</v>
      </c>
      <c r="D625" t="s">
        <v>21</v>
      </c>
      <c r="E625" s="2">
        <f>Table1[[#This Row],[Quantity_Sold]] * Table1[[#This Row],[Unit_Price]] * (1 - (Table1[[#This Row],[Discount]] / 100))</f>
        <v>86219.292736000003</v>
      </c>
      <c r="F625" s="2">
        <f>Table1[[#This Row],[Quantity_Sold]] * ((Table1[[#This Row],[Unit_Price]] * (1 - (Table1[[#This Row],[Discount]] / 100))) - Table1[[#This Row],[Unit_Cost]])</f>
        <v>1855.772735999999</v>
      </c>
      <c r="G625" s="3">
        <v>32</v>
      </c>
      <c r="H625" t="s">
        <v>26</v>
      </c>
      <c r="I625">
        <v>2636.36</v>
      </c>
      <c r="J625" s="2">
        <v>2696.78</v>
      </c>
      <c r="K625" t="s">
        <v>30</v>
      </c>
      <c r="L625" s="4">
        <v>0.09</v>
      </c>
      <c r="M625" t="s">
        <v>18</v>
      </c>
      <c r="N625" t="s">
        <v>22</v>
      </c>
      <c r="O625" t="s">
        <v>23</v>
      </c>
    </row>
    <row r="626" spans="1:15" x14ac:dyDescent="0.25">
      <c r="A626" s="3">
        <v>1009</v>
      </c>
      <c r="B626" s="1">
        <v>44989</v>
      </c>
      <c r="C626" t="s">
        <v>24</v>
      </c>
      <c r="D626" t="s">
        <v>34</v>
      </c>
      <c r="E626" s="2">
        <f>Table1[[#This Row],[Quantity_Sold]] * Table1[[#This Row],[Unit_Price]] * (1 - (Table1[[#This Row],[Discount]] / 100))</f>
        <v>3584.007423</v>
      </c>
      <c r="F626" s="2">
        <f>Table1[[#This Row],[Quantity_Sold]] * ((Table1[[#This Row],[Unit_Price]] * (1 - (Table1[[#This Row],[Discount]] / 100))) - Table1[[#This Row],[Unit_Cost]])</f>
        <v>360.93742299999985</v>
      </c>
      <c r="G626" s="3">
        <v>1</v>
      </c>
      <c r="H626" t="s">
        <v>29</v>
      </c>
      <c r="I626">
        <v>3223.07</v>
      </c>
      <c r="J626" s="2">
        <v>3590.83</v>
      </c>
      <c r="K626" t="s">
        <v>30</v>
      </c>
      <c r="L626" s="4">
        <v>0.19</v>
      </c>
      <c r="M626" t="s">
        <v>27</v>
      </c>
      <c r="N626" t="s">
        <v>22</v>
      </c>
      <c r="O626" t="s">
        <v>50</v>
      </c>
    </row>
    <row r="627" spans="1:15" x14ac:dyDescent="0.25">
      <c r="A627" s="3">
        <v>1071</v>
      </c>
      <c r="B627" s="1">
        <v>45236</v>
      </c>
      <c r="C627" t="s">
        <v>24</v>
      </c>
      <c r="D627" t="s">
        <v>15</v>
      </c>
      <c r="E627" s="2">
        <f>Table1[[#This Row],[Quantity_Sold]] * Table1[[#This Row],[Unit_Price]] * (1 - (Table1[[#This Row],[Discount]] / 100))</f>
        <v>194619.82653100003</v>
      </c>
      <c r="F627" s="2">
        <f>Table1[[#This Row],[Quantity_Sold]] * ((Table1[[#This Row],[Unit_Price]] * (1 - (Table1[[#This Row],[Discount]] / 100))) - Table1[[#This Row],[Unit_Cost]])</f>
        <v>9329.8465310000174</v>
      </c>
      <c r="G627" s="3">
        <v>47</v>
      </c>
      <c r="H627" t="s">
        <v>26</v>
      </c>
      <c r="I627">
        <v>3942.34</v>
      </c>
      <c r="J627" s="2">
        <v>4142.09</v>
      </c>
      <c r="K627" t="s">
        <v>17</v>
      </c>
      <c r="L627" s="4">
        <v>0.03</v>
      </c>
      <c r="M627" t="s">
        <v>31</v>
      </c>
      <c r="N627" t="s">
        <v>22</v>
      </c>
      <c r="O627" t="s">
        <v>45</v>
      </c>
    </row>
    <row r="628" spans="1:15" x14ac:dyDescent="0.25">
      <c r="A628" s="3">
        <v>1028</v>
      </c>
      <c r="B628" s="1">
        <v>45169</v>
      </c>
      <c r="C628" t="s">
        <v>38</v>
      </c>
      <c r="D628" t="s">
        <v>15</v>
      </c>
      <c r="E628" s="2">
        <f>Table1[[#This Row],[Quantity_Sold]] * Table1[[#This Row],[Unit_Price]] * (1 - (Table1[[#This Row],[Discount]] / 100))</f>
        <v>68459.599151999995</v>
      </c>
      <c r="F628" s="2">
        <f>Table1[[#This Row],[Quantity_Sold]] * ((Table1[[#This Row],[Unit_Price]] * (1 - (Table1[[#This Row],[Discount]] / 100))) - Table1[[#This Row],[Unit_Cost]])</f>
        <v>10911.759151999988</v>
      </c>
      <c r="G628" s="3">
        <v>28</v>
      </c>
      <c r="H628" t="s">
        <v>16</v>
      </c>
      <c r="I628">
        <v>2055.2800000000002</v>
      </c>
      <c r="J628" s="2">
        <v>2449.64</v>
      </c>
      <c r="K628" t="s">
        <v>30</v>
      </c>
      <c r="L628" s="4">
        <v>0.19</v>
      </c>
      <c r="M628" t="s">
        <v>31</v>
      </c>
      <c r="N628" t="s">
        <v>19</v>
      </c>
      <c r="O628" t="s">
        <v>40</v>
      </c>
    </row>
    <row r="629" spans="1:15" x14ac:dyDescent="0.25">
      <c r="A629" s="3">
        <v>1078</v>
      </c>
      <c r="B629" s="1">
        <v>45292</v>
      </c>
      <c r="C629" t="s">
        <v>24</v>
      </c>
      <c r="D629" t="s">
        <v>34</v>
      </c>
      <c r="E629" s="2">
        <f>Table1[[#This Row],[Quantity_Sold]] * Table1[[#This Row],[Unit_Price]] * (1 - (Table1[[#This Row],[Discount]] / 100))</f>
        <v>13223.091882000001</v>
      </c>
      <c r="F629" s="2">
        <f>Table1[[#This Row],[Quantity_Sold]] * ((Table1[[#This Row],[Unit_Price]] * (1 - (Table1[[#This Row],[Discount]] / 100))) - Table1[[#This Row],[Unit_Cost]])</f>
        <v>10559.871882000001</v>
      </c>
      <c r="G629" s="3">
        <v>42</v>
      </c>
      <c r="H629" t="s">
        <v>26</v>
      </c>
      <c r="I629">
        <v>63.41</v>
      </c>
      <c r="J629" s="2">
        <v>314.93</v>
      </c>
      <c r="K629" t="s">
        <v>17</v>
      </c>
      <c r="L629" s="4">
        <v>0.03</v>
      </c>
      <c r="M629" t="s">
        <v>18</v>
      </c>
      <c r="N629" t="s">
        <v>22</v>
      </c>
      <c r="O629" t="s">
        <v>50</v>
      </c>
    </row>
    <row r="630" spans="1:15" x14ac:dyDescent="0.25">
      <c r="A630" s="3">
        <v>1095</v>
      </c>
      <c r="B630" s="1">
        <v>45256</v>
      </c>
      <c r="C630" t="s">
        <v>33</v>
      </c>
      <c r="D630" t="s">
        <v>21</v>
      </c>
      <c r="E630" s="2">
        <f>Table1[[#This Row],[Quantity_Sold]] * Table1[[#This Row],[Unit_Price]] * (1 - (Table1[[#This Row],[Discount]] / 100))</f>
        <v>30481.942673000001</v>
      </c>
      <c r="F630" s="2">
        <f>Table1[[#This Row],[Quantity_Sold]] * ((Table1[[#This Row],[Unit_Price]] * (1 - (Table1[[#This Row],[Discount]] / 100))) - Table1[[#This Row],[Unit_Cost]])</f>
        <v>681.262673000002</v>
      </c>
      <c r="G630" s="3">
        <v>7</v>
      </c>
      <c r="H630" t="s">
        <v>26</v>
      </c>
      <c r="I630">
        <v>4257.24</v>
      </c>
      <c r="J630" s="2">
        <v>4355.87</v>
      </c>
      <c r="K630" t="s">
        <v>17</v>
      </c>
      <c r="L630" s="4">
        <v>0.03</v>
      </c>
      <c r="M630" t="s">
        <v>27</v>
      </c>
      <c r="N630" t="s">
        <v>19</v>
      </c>
      <c r="O630" t="s">
        <v>37</v>
      </c>
    </row>
    <row r="631" spans="1:15" x14ac:dyDescent="0.25">
      <c r="A631" s="3">
        <v>1052</v>
      </c>
      <c r="B631" s="1">
        <v>45033</v>
      </c>
      <c r="C631" t="s">
        <v>42</v>
      </c>
      <c r="D631" t="s">
        <v>25</v>
      </c>
      <c r="E631" s="2">
        <f>Table1[[#This Row],[Quantity_Sold]] * Table1[[#This Row],[Unit_Price]] * (1 - (Table1[[#This Row],[Discount]] / 100))</f>
        <v>4600.7360640000006</v>
      </c>
      <c r="F631" s="2">
        <f>Table1[[#This Row],[Quantity_Sold]] * ((Table1[[#This Row],[Unit_Price]] * (1 - (Table1[[#This Row],[Discount]] / 100))) - Table1[[#This Row],[Unit_Cost]])</f>
        <v>729.91606400000046</v>
      </c>
      <c r="G631" s="3">
        <v>2</v>
      </c>
      <c r="H631" t="s">
        <v>26</v>
      </c>
      <c r="I631">
        <v>1935.41</v>
      </c>
      <c r="J631" s="2">
        <v>2305.44</v>
      </c>
      <c r="K631" t="s">
        <v>17</v>
      </c>
      <c r="L631" s="4">
        <v>0.22</v>
      </c>
      <c r="M631" t="s">
        <v>31</v>
      </c>
      <c r="N631" t="s">
        <v>19</v>
      </c>
      <c r="O631" t="s">
        <v>43</v>
      </c>
    </row>
    <row r="632" spans="1:15" x14ac:dyDescent="0.25">
      <c r="A632" s="3">
        <v>1083</v>
      </c>
      <c r="B632" s="1">
        <v>45152</v>
      </c>
      <c r="C632" t="s">
        <v>38</v>
      </c>
      <c r="D632" t="s">
        <v>21</v>
      </c>
      <c r="E632" s="2">
        <f>Table1[[#This Row],[Quantity_Sold]] * Table1[[#This Row],[Unit_Price]] * (1 - (Table1[[#This Row],[Discount]] / 100))</f>
        <v>110725.48368</v>
      </c>
      <c r="F632" s="2">
        <f>Table1[[#This Row],[Quantity_Sold]] * ((Table1[[#This Row],[Unit_Price]] * (1 - (Table1[[#This Row],[Discount]] / 100))) - Table1[[#This Row],[Unit_Cost]])</f>
        <v>5498.2636799999982</v>
      </c>
      <c r="G632" s="3">
        <v>42</v>
      </c>
      <c r="H632" t="s">
        <v>29</v>
      </c>
      <c r="I632">
        <v>2505.41</v>
      </c>
      <c r="J632" s="2">
        <v>2638.96</v>
      </c>
      <c r="K632" t="s">
        <v>30</v>
      </c>
      <c r="L632" s="4">
        <v>0.1</v>
      </c>
      <c r="M632" t="s">
        <v>27</v>
      </c>
      <c r="N632" t="s">
        <v>19</v>
      </c>
      <c r="O632" t="s">
        <v>41</v>
      </c>
    </row>
    <row r="633" spans="1:15" x14ac:dyDescent="0.25">
      <c r="A633" s="3">
        <v>1016</v>
      </c>
      <c r="B633" s="1">
        <v>45239</v>
      </c>
      <c r="C633" t="s">
        <v>33</v>
      </c>
      <c r="D633" t="s">
        <v>25</v>
      </c>
      <c r="E633" s="2">
        <f>Table1[[#This Row],[Quantity_Sold]] * Table1[[#This Row],[Unit_Price]] * (1 - (Table1[[#This Row],[Discount]] / 100))</f>
        <v>8110.969775999999</v>
      </c>
      <c r="F633" s="2">
        <f>Table1[[#This Row],[Quantity_Sold]] * ((Table1[[#This Row],[Unit_Price]] * (1 - (Table1[[#This Row],[Discount]] / 100))) - Table1[[#This Row],[Unit_Cost]])</f>
        <v>5988.4097759999995</v>
      </c>
      <c r="G633" s="3">
        <v>24</v>
      </c>
      <c r="H633" t="s">
        <v>16</v>
      </c>
      <c r="I633">
        <v>88.44</v>
      </c>
      <c r="J633" s="2">
        <v>338.94</v>
      </c>
      <c r="K633" t="s">
        <v>30</v>
      </c>
      <c r="L633" s="4">
        <v>0.28999999999999998</v>
      </c>
      <c r="M633" t="s">
        <v>18</v>
      </c>
      <c r="N633" t="s">
        <v>19</v>
      </c>
      <c r="O633" t="s">
        <v>44</v>
      </c>
    </row>
    <row r="634" spans="1:15" x14ac:dyDescent="0.25">
      <c r="A634" s="3">
        <v>1069</v>
      </c>
      <c r="B634" s="1">
        <v>45144</v>
      </c>
      <c r="C634" t="s">
        <v>14</v>
      </c>
      <c r="D634" t="s">
        <v>15</v>
      </c>
      <c r="E634" s="2">
        <f>Table1[[#This Row],[Quantity_Sold]] * Table1[[#This Row],[Unit_Price]] * (1 - (Table1[[#This Row],[Discount]] / 100))</f>
        <v>10130.466852</v>
      </c>
      <c r="F634" s="2">
        <f>Table1[[#This Row],[Quantity_Sold]] * ((Table1[[#This Row],[Unit_Price]] * (1 - (Table1[[#This Row],[Discount]] / 100))) - Table1[[#This Row],[Unit_Cost]])</f>
        <v>187.02685199999905</v>
      </c>
      <c r="G634" s="3">
        <v>4</v>
      </c>
      <c r="H634" t="s">
        <v>35</v>
      </c>
      <c r="I634">
        <v>2485.86</v>
      </c>
      <c r="J634" s="2">
        <v>2532.87</v>
      </c>
      <c r="K634" t="s">
        <v>30</v>
      </c>
      <c r="L634" s="4">
        <v>0.01</v>
      </c>
      <c r="M634" t="s">
        <v>31</v>
      </c>
      <c r="N634" t="s">
        <v>19</v>
      </c>
      <c r="O634" t="s">
        <v>20</v>
      </c>
    </row>
    <row r="635" spans="1:15" x14ac:dyDescent="0.25">
      <c r="A635" s="3">
        <v>1099</v>
      </c>
      <c r="B635" s="1">
        <v>45167</v>
      </c>
      <c r="C635" t="s">
        <v>42</v>
      </c>
      <c r="D635" t="s">
        <v>21</v>
      </c>
      <c r="E635" s="2">
        <f>Table1[[#This Row],[Quantity_Sold]] * Table1[[#This Row],[Unit_Price]] * (1 - (Table1[[#This Row],[Discount]] / 100))</f>
        <v>230517.776808</v>
      </c>
      <c r="F635" s="2">
        <f>Table1[[#This Row],[Quantity_Sold]] * ((Table1[[#This Row],[Unit_Price]] * (1 - (Table1[[#This Row],[Discount]] / 100))) - Table1[[#This Row],[Unit_Cost]])</f>
        <v>13460.93680800002</v>
      </c>
      <c r="G635" s="3">
        <v>44</v>
      </c>
      <c r="H635" t="s">
        <v>29</v>
      </c>
      <c r="I635">
        <v>4933.1099999999997</v>
      </c>
      <c r="J635" s="2">
        <v>5245.86</v>
      </c>
      <c r="K635" t="s">
        <v>17</v>
      </c>
      <c r="L635" s="4">
        <v>0.13</v>
      </c>
      <c r="M635" t="s">
        <v>27</v>
      </c>
      <c r="N635" t="s">
        <v>22</v>
      </c>
      <c r="O635" t="s">
        <v>51</v>
      </c>
    </row>
    <row r="636" spans="1:15" x14ac:dyDescent="0.25">
      <c r="A636" s="3">
        <v>1012</v>
      </c>
      <c r="B636" s="1">
        <v>45185</v>
      </c>
      <c r="C636" t="s">
        <v>24</v>
      </c>
      <c r="D636" t="s">
        <v>25</v>
      </c>
      <c r="E636" s="2">
        <f>Table1[[#This Row],[Quantity_Sold]] * Table1[[#This Row],[Unit_Price]] * (1 - (Table1[[#This Row],[Discount]] / 100))</f>
        <v>33500.056967000004</v>
      </c>
      <c r="F636" s="2">
        <f>Table1[[#This Row],[Quantity_Sold]] * ((Table1[[#This Row],[Unit_Price]] * (1 - (Table1[[#This Row],[Discount]] / 100))) - Table1[[#This Row],[Unit_Cost]])</f>
        <v>6379.0769670000027</v>
      </c>
      <c r="G636" s="3">
        <v>19</v>
      </c>
      <c r="H636" t="s">
        <v>35</v>
      </c>
      <c r="I636">
        <v>1427.42</v>
      </c>
      <c r="J636" s="2">
        <v>1763.69</v>
      </c>
      <c r="K636" t="s">
        <v>30</v>
      </c>
      <c r="L636" s="4">
        <v>0.03</v>
      </c>
      <c r="M636" t="s">
        <v>18</v>
      </c>
      <c r="N636" t="s">
        <v>22</v>
      </c>
      <c r="O636" t="s">
        <v>28</v>
      </c>
    </row>
    <row r="637" spans="1:15" x14ac:dyDescent="0.25">
      <c r="A637" s="3">
        <v>1025</v>
      </c>
      <c r="B637" s="1">
        <v>45188</v>
      </c>
      <c r="C637" t="s">
        <v>42</v>
      </c>
      <c r="D637" t="s">
        <v>34</v>
      </c>
      <c r="E637" s="2">
        <f>Table1[[#This Row],[Quantity_Sold]] * Table1[[#This Row],[Unit_Price]] * (1 - (Table1[[#This Row],[Discount]] / 100))</f>
        <v>57211.617917999996</v>
      </c>
      <c r="F637" s="2">
        <f>Table1[[#This Row],[Quantity_Sold]] * ((Table1[[#This Row],[Unit_Price]] * (1 - (Table1[[#This Row],[Discount]] / 100))) - Table1[[#This Row],[Unit_Cost]])</f>
        <v>5021.2979179999948</v>
      </c>
      <c r="G637" s="3">
        <v>26</v>
      </c>
      <c r="H637" t="s">
        <v>35</v>
      </c>
      <c r="I637">
        <v>2007.32</v>
      </c>
      <c r="J637" s="2">
        <v>2202.87</v>
      </c>
      <c r="K637" t="s">
        <v>17</v>
      </c>
      <c r="L637" s="4">
        <v>0.11</v>
      </c>
      <c r="M637" t="s">
        <v>18</v>
      </c>
      <c r="N637" t="s">
        <v>19</v>
      </c>
      <c r="O637" t="s">
        <v>52</v>
      </c>
    </row>
    <row r="638" spans="1:15" x14ac:dyDescent="0.25">
      <c r="A638" s="3">
        <v>1052</v>
      </c>
      <c r="B638" s="1">
        <v>44931</v>
      </c>
      <c r="C638" t="s">
        <v>14</v>
      </c>
      <c r="D638" t="s">
        <v>15</v>
      </c>
      <c r="E638" s="2">
        <f>Table1[[#This Row],[Quantity_Sold]] * Table1[[#This Row],[Unit_Price]] * (1 - (Table1[[#This Row],[Discount]] / 100))</f>
        <v>43092.19442</v>
      </c>
      <c r="F638" s="2">
        <f>Table1[[#This Row],[Quantity_Sold]] * ((Table1[[#This Row],[Unit_Price]] * (1 - (Table1[[#This Row],[Discount]] / 100))) - Table1[[#This Row],[Unit_Cost]])</f>
        <v>5124.70442</v>
      </c>
      <c r="G638" s="3">
        <v>11</v>
      </c>
      <c r="H638" t="s">
        <v>29</v>
      </c>
      <c r="I638">
        <v>3451.59</v>
      </c>
      <c r="J638" s="2">
        <v>3929.26</v>
      </c>
      <c r="K638" t="s">
        <v>30</v>
      </c>
      <c r="L638" s="4">
        <v>0.3</v>
      </c>
      <c r="M638" t="s">
        <v>31</v>
      </c>
      <c r="N638" t="s">
        <v>22</v>
      </c>
      <c r="O638" t="s">
        <v>20</v>
      </c>
    </row>
    <row r="639" spans="1:15" x14ac:dyDescent="0.25">
      <c r="A639" s="3">
        <v>1085</v>
      </c>
      <c r="B639" s="1">
        <v>45187</v>
      </c>
      <c r="C639" t="s">
        <v>38</v>
      </c>
      <c r="D639" t="s">
        <v>34</v>
      </c>
      <c r="E639" s="2">
        <f>Table1[[#This Row],[Quantity_Sold]] * Table1[[#This Row],[Unit_Price]] * (1 - (Table1[[#This Row],[Discount]] / 100))</f>
        <v>180374.47043999998</v>
      </c>
      <c r="F639" s="2">
        <f>Table1[[#This Row],[Quantity_Sold]] * ((Table1[[#This Row],[Unit_Price]] * (1 - (Table1[[#This Row],[Discount]] / 100))) - Table1[[#This Row],[Unit_Cost]])</f>
        <v>17045.270439999967</v>
      </c>
      <c r="G639" s="3">
        <v>40</v>
      </c>
      <c r="H639" t="s">
        <v>29</v>
      </c>
      <c r="I639">
        <v>4083.23</v>
      </c>
      <c r="J639" s="2">
        <v>4521.57</v>
      </c>
      <c r="K639" t="s">
        <v>30</v>
      </c>
      <c r="L639" s="4">
        <v>0.27</v>
      </c>
      <c r="M639" t="s">
        <v>27</v>
      </c>
      <c r="N639" t="s">
        <v>22</v>
      </c>
      <c r="O639" t="s">
        <v>48</v>
      </c>
    </row>
    <row r="640" spans="1:15" x14ac:dyDescent="0.25">
      <c r="A640" s="3">
        <v>1100</v>
      </c>
      <c r="B640" s="1">
        <v>44980</v>
      </c>
      <c r="C640" t="s">
        <v>38</v>
      </c>
      <c r="D640" t="s">
        <v>15</v>
      </c>
      <c r="E640" s="2">
        <f>Table1[[#This Row],[Quantity_Sold]] * Table1[[#This Row],[Unit_Price]] * (1 - (Table1[[#This Row],[Discount]] / 100))</f>
        <v>106327.506186</v>
      </c>
      <c r="F640" s="2">
        <f>Table1[[#This Row],[Quantity_Sold]] * ((Table1[[#This Row],[Unit_Price]] * (1 - (Table1[[#This Row],[Discount]] / 100))) - Table1[[#This Row],[Unit_Cost]])</f>
        <v>15335.636186000003</v>
      </c>
      <c r="G640" s="3">
        <v>43</v>
      </c>
      <c r="H640" t="s">
        <v>16</v>
      </c>
      <c r="I640">
        <v>2116.09</v>
      </c>
      <c r="J640" s="2">
        <v>2472.98</v>
      </c>
      <c r="K640" t="s">
        <v>30</v>
      </c>
      <c r="L640" s="4">
        <v>0.01</v>
      </c>
      <c r="M640" t="s">
        <v>31</v>
      </c>
      <c r="N640" t="s">
        <v>22</v>
      </c>
      <c r="O640" t="s">
        <v>40</v>
      </c>
    </row>
    <row r="641" spans="1:15" x14ac:dyDescent="0.25">
      <c r="A641" s="3">
        <v>1053</v>
      </c>
      <c r="B641" s="1">
        <v>44973</v>
      </c>
      <c r="C641" t="s">
        <v>38</v>
      </c>
      <c r="D641" t="s">
        <v>21</v>
      </c>
      <c r="E641" s="2">
        <f>Table1[[#This Row],[Quantity_Sold]] * Table1[[#This Row],[Unit_Price]] * (1 - (Table1[[#This Row],[Discount]] / 100))</f>
        <v>21331.724314999999</v>
      </c>
      <c r="F641" s="2">
        <f>Table1[[#This Row],[Quantity_Sold]] * ((Table1[[#This Row],[Unit_Price]] * (1 - (Table1[[#This Row],[Discount]] / 100))) - Table1[[#This Row],[Unit_Cost]])</f>
        <v>3920.2643149999994</v>
      </c>
      <c r="G641" s="3">
        <v>11</v>
      </c>
      <c r="H641" t="s">
        <v>16</v>
      </c>
      <c r="I641">
        <v>1582.86</v>
      </c>
      <c r="J641" s="2">
        <v>1942.55</v>
      </c>
      <c r="K641" t="s">
        <v>30</v>
      </c>
      <c r="L641" s="4">
        <v>0.17</v>
      </c>
      <c r="M641" t="s">
        <v>31</v>
      </c>
      <c r="N641" t="s">
        <v>22</v>
      </c>
      <c r="O641" t="s">
        <v>41</v>
      </c>
    </row>
    <row r="642" spans="1:15" x14ac:dyDescent="0.25">
      <c r="A642" s="3">
        <v>1023</v>
      </c>
      <c r="B642" s="1">
        <v>45141</v>
      </c>
      <c r="C642" t="s">
        <v>24</v>
      </c>
      <c r="D642" t="s">
        <v>21</v>
      </c>
      <c r="E642" s="2">
        <f>Table1[[#This Row],[Quantity_Sold]] * Table1[[#This Row],[Unit_Price]] * (1 - (Table1[[#This Row],[Discount]] / 100))</f>
        <v>216753.78383999999</v>
      </c>
      <c r="F642" s="2">
        <f>Table1[[#This Row],[Quantity_Sold]] * ((Table1[[#This Row],[Unit_Price]] * (1 - (Table1[[#This Row],[Discount]] / 100))) - Table1[[#This Row],[Unit_Cost]])</f>
        <v>5602.9838400000062</v>
      </c>
      <c r="G642" s="3">
        <v>45</v>
      </c>
      <c r="H642" t="s">
        <v>26</v>
      </c>
      <c r="I642">
        <v>4692.24</v>
      </c>
      <c r="J642" s="2">
        <v>4825.92</v>
      </c>
      <c r="K642" t="s">
        <v>17</v>
      </c>
      <c r="L642" s="4">
        <v>0.19</v>
      </c>
      <c r="M642" t="s">
        <v>27</v>
      </c>
      <c r="N642" t="s">
        <v>22</v>
      </c>
      <c r="O642" t="s">
        <v>47</v>
      </c>
    </row>
    <row r="643" spans="1:15" x14ac:dyDescent="0.25">
      <c r="A643" s="3">
        <v>1016</v>
      </c>
      <c r="B643" s="1">
        <v>45103</v>
      </c>
      <c r="C643" t="s">
        <v>33</v>
      </c>
      <c r="D643" t="s">
        <v>15</v>
      </c>
      <c r="E643" s="2">
        <f>Table1[[#This Row],[Quantity_Sold]] * Table1[[#This Row],[Unit_Price]] * (1 - (Table1[[#This Row],[Discount]] / 100))</f>
        <v>11194.409322000001</v>
      </c>
      <c r="F643" s="2">
        <f>Table1[[#This Row],[Quantity_Sold]] * ((Table1[[#This Row],[Unit_Price]] * (1 - (Table1[[#This Row],[Discount]] / 100))) - Table1[[#This Row],[Unit_Cost]])</f>
        <v>988.79932199999939</v>
      </c>
      <c r="G643" s="3">
        <v>3</v>
      </c>
      <c r="H643" t="s">
        <v>35</v>
      </c>
      <c r="I643">
        <v>3401.87</v>
      </c>
      <c r="J643" s="2">
        <v>3733.71</v>
      </c>
      <c r="K643" t="s">
        <v>17</v>
      </c>
      <c r="L643" s="4">
        <v>0.06</v>
      </c>
      <c r="M643" t="s">
        <v>27</v>
      </c>
      <c r="N643" t="s">
        <v>22</v>
      </c>
      <c r="O643" t="s">
        <v>53</v>
      </c>
    </row>
    <row r="644" spans="1:15" x14ac:dyDescent="0.25">
      <c r="A644" s="3">
        <v>1057</v>
      </c>
      <c r="B644" s="1">
        <v>44935</v>
      </c>
      <c r="C644" t="s">
        <v>33</v>
      </c>
      <c r="D644" t="s">
        <v>15</v>
      </c>
      <c r="E644" s="2">
        <f>Table1[[#This Row],[Quantity_Sold]] * Table1[[#This Row],[Unit_Price]] * (1 - (Table1[[#This Row],[Discount]] / 100))</f>
        <v>8951.7778560000006</v>
      </c>
      <c r="F644" s="2">
        <f>Table1[[#This Row],[Quantity_Sold]] * ((Table1[[#This Row],[Unit_Price]] * (1 - (Table1[[#This Row],[Discount]] / 100))) - Table1[[#This Row],[Unit_Cost]])</f>
        <v>1281.8578560000005</v>
      </c>
      <c r="G644" s="3">
        <v>12</v>
      </c>
      <c r="H644" t="s">
        <v>16</v>
      </c>
      <c r="I644">
        <v>639.16</v>
      </c>
      <c r="J644" s="2">
        <v>746.28</v>
      </c>
      <c r="K644" t="s">
        <v>17</v>
      </c>
      <c r="L644" s="4">
        <v>0.04</v>
      </c>
      <c r="M644" t="s">
        <v>27</v>
      </c>
      <c r="N644" t="s">
        <v>22</v>
      </c>
      <c r="O644" t="s">
        <v>53</v>
      </c>
    </row>
    <row r="645" spans="1:15" x14ac:dyDescent="0.25">
      <c r="A645" s="3">
        <v>1039</v>
      </c>
      <c r="B645" s="1">
        <v>45025</v>
      </c>
      <c r="C645" t="s">
        <v>42</v>
      </c>
      <c r="D645" t="s">
        <v>15</v>
      </c>
      <c r="E645" s="2">
        <f>Table1[[#This Row],[Quantity_Sold]] * Table1[[#This Row],[Unit_Price]] * (1 - (Table1[[#This Row],[Discount]] / 100))</f>
        <v>1411.428825</v>
      </c>
      <c r="F645" s="2">
        <f>Table1[[#This Row],[Quantity_Sold]] * ((Table1[[#This Row],[Unit_Price]] * (1 - (Table1[[#This Row],[Discount]] / 100))) - Table1[[#This Row],[Unit_Cost]])</f>
        <v>237.85882499999997</v>
      </c>
      <c r="G645" s="3">
        <v>3</v>
      </c>
      <c r="H645" t="s">
        <v>26</v>
      </c>
      <c r="I645">
        <v>391.19</v>
      </c>
      <c r="J645" s="2">
        <v>471.75</v>
      </c>
      <c r="K645" t="s">
        <v>17</v>
      </c>
      <c r="L645" s="4">
        <v>0.27</v>
      </c>
      <c r="M645" t="s">
        <v>18</v>
      </c>
      <c r="N645" t="s">
        <v>19</v>
      </c>
      <c r="O645" t="s">
        <v>49</v>
      </c>
    </row>
    <row r="646" spans="1:15" x14ac:dyDescent="0.25">
      <c r="A646" s="3">
        <v>1053</v>
      </c>
      <c r="B646" s="1">
        <v>44946</v>
      </c>
      <c r="C646" t="s">
        <v>24</v>
      </c>
      <c r="D646" t="s">
        <v>21</v>
      </c>
      <c r="E646" s="2">
        <f>Table1[[#This Row],[Quantity_Sold]] * Table1[[#This Row],[Unit_Price]] * (1 - (Table1[[#This Row],[Discount]] / 100))</f>
        <v>123260.524842</v>
      </c>
      <c r="F646" s="2">
        <f>Table1[[#This Row],[Quantity_Sold]] * ((Table1[[#This Row],[Unit_Price]] * (1 - (Table1[[#This Row],[Discount]] / 100))) - Table1[[#This Row],[Unit_Cost]])</f>
        <v>20630.584841999997</v>
      </c>
      <c r="G646" s="3">
        <v>42</v>
      </c>
      <c r="H646" t="s">
        <v>16</v>
      </c>
      <c r="I646">
        <v>2443.5700000000002</v>
      </c>
      <c r="J646" s="2">
        <v>2943.31</v>
      </c>
      <c r="K646" t="s">
        <v>30</v>
      </c>
      <c r="L646" s="4">
        <v>0.28999999999999998</v>
      </c>
      <c r="M646" t="s">
        <v>18</v>
      </c>
      <c r="N646" t="s">
        <v>19</v>
      </c>
      <c r="O646" t="s">
        <v>47</v>
      </c>
    </row>
    <row r="647" spans="1:15" x14ac:dyDescent="0.25">
      <c r="A647" s="3">
        <v>1042</v>
      </c>
      <c r="B647" s="1">
        <v>45167</v>
      </c>
      <c r="C647" t="s">
        <v>38</v>
      </c>
      <c r="D647" t="s">
        <v>25</v>
      </c>
      <c r="E647" s="2">
        <f>Table1[[#This Row],[Quantity_Sold]] * Table1[[#This Row],[Unit_Price]] * (1 - (Table1[[#This Row],[Discount]] / 100))</f>
        <v>39151.262790000001</v>
      </c>
      <c r="F647" s="2">
        <f>Table1[[#This Row],[Quantity_Sold]] * ((Table1[[#This Row],[Unit_Price]] * (1 - (Table1[[#This Row],[Discount]] / 100))) - Table1[[#This Row],[Unit_Cost]])</f>
        <v>8386.1127900000029</v>
      </c>
      <c r="G647" s="3">
        <v>27</v>
      </c>
      <c r="H647" t="s">
        <v>29</v>
      </c>
      <c r="I647">
        <v>1139.45</v>
      </c>
      <c r="J647" s="2">
        <v>1454.41</v>
      </c>
      <c r="K647" t="s">
        <v>17</v>
      </c>
      <c r="L647" s="4">
        <v>0.3</v>
      </c>
      <c r="M647" t="s">
        <v>27</v>
      </c>
      <c r="N647" t="s">
        <v>19</v>
      </c>
      <c r="O647" t="s">
        <v>39</v>
      </c>
    </row>
    <row r="648" spans="1:15" x14ac:dyDescent="0.25">
      <c r="A648" s="3">
        <v>1058</v>
      </c>
      <c r="B648" s="1">
        <v>44987</v>
      </c>
      <c r="C648" t="s">
        <v>38</v>
      </c>
      <c r="D648" t="s">
        <v>34</v>
      </c>
      <c r="E648" s="2">
        <f>Table1[[#This Row],[Quantity_Sold]] * Table1[[#This Row],[Unit_Price]] * (1 - (Table1[[#This Row],[Discount]] / 100))</f>
        <v>74711.860160000011</v>
      </c>
      <c r="F648" s="2">
        <f>Table1[[#This Row],[Quantity_Sold]] * ((Table1[[#This Row],[Unit_Price]] * (1 - (Table1[[#This Row],[Discount]] / 100))) - Table1[[#This Row],[Unit_Cost]])</f>
        <v>10658.080160000005</v>
      </c>
      <c r="G648" s="3">
        <v>49</v>
      </c>
      <c r="H648" t="s">
        <v>16</v>
      </c>
      <c r="I648">
        <v>1307.22</v>
      </c>
      <c r="J648" s="2">
        <v>1528.4</v>
      </c>
      <c r="K648" t="s">
        <v>17</v>
      </c>
      <c r="L648" s="4">
        <v>0.24</v>
      </c>
      <c r="M648" t="s">
        <v>18</v>
      </c>
      <c r="N648" t="s">
        <v>22</v>
      </c>
      <c r="O648" t="s">
        <v>48</v>
      </c>
    </row>
    <row r="649" spans="1:15" x14ac:dyDescent="0.25">
      <c r="A649" s="3">
        <v>1039</v>
      </c>
      <c r="B649" s="1">
        <v>45104</v>
      </c>
      <c r="C649" t="s">
        <v>14</v>
      </c>
      <c r="D649" t="s">
        <v>34</v>
      </c>
      <c r="E649" s="2">
        <f>Table1[[#This Row],[Quantity_Sold]] * Table1[[#This Row],[Unit_Price]] * (1 - (Table1[[#This Row],[Discount]] / 100))</f>
        <v>9073.3768799999998</v>
      </c>
      <c r="F649" s="2">
        <f>Table1[[#This Row],[Quantity_Sold]] * ((Table1[[#This Row],[Unit_Price]] * (1 - (Table1[[#This Row],[Discount]] / 100))) - Table1[[#This Row],[Unit_Cost]])</f>
        <v>284.21687999999995</v>
      </c>
      <c r="G649" s="3">
        <v>2</v>
      </c>
      <c r="H649" t="s">
        <v>35</v>
      </c>
      <c r="I649">
        <v>4394.58</v>
      </c>
      <c r="J649" s="2">
        <v>4545.78</v>
      </c>
      <c r="K649" t="s">
        <v>17</v>
      </c>
      <c r="L649" s="4">
        <v>0.2</v>
      </c>
      <c r="M649" t="s">
        <v>31</v>
      </c>
      <c r="N649" t="s">
        <v>22</v>
      </c>
      <c r="O649" t="s">
        <v>46</v>
      </c>
    </row>
    <row r="650" spans="1:15" x14ac:dyDescent="0.25">
      <c r="A650" s="3">
        <v>1014</v>
      </c>
      <c r="B650" s="1">
        <v>45264</v>
      </c>
      <c r="C650" t="s">
        <v>14</v>
      </c>
      <c r="D650" t="s">
        <v>21</v>
      </c>
      <c r="E650" s="2">
        <f>Table1[[#This Row],[Quantity_Sold]] * Table1[[#This Row],[Unit_Price]] * (1 - (Table1[[#This Row],[Discount]] / 100))</f>
        <v>39125.065769999994</v>
      </c>
      <c r="F650" s="2">
        <f>Table1[[#This Row],[Quantity_Sold]] * ((Table1[[#This Row],[Unit_Price]] * (1 - (Table1[[#This Row],[Discount]] / 100))) - Table1[[#This Row],[Unit_Cost]])</f>
        <v>14950.91577</v>
      </c>
      <c r="G650" s="3">
        <v>49</v>
      </c>
      <c r="H650" t="s">
        <v>16</v>
      </c>
      <c r="I650">
        <v>493.35</v>
      </c>
      <c r="J650" s="2">
        <v>799.27</v>
      </c>
      <c r="K650" t="s">
        <v>30</v>
      </c>
      <c r="L650" s="4">
        <v>0.1</v>
      </c>
      <c r="M650" t="s">
        <v>27</v>
      </c>
      <c r="N650" t="s">
        <v>19</v>
      </c>
      <c r="O650" t="s">
        <v>23</v>
      </c>
    </row>
    <row r="651" spans="1:15" x14ac:dyDescent="0.25">
      <c r="A651" s="3">
        <v>1095</v>
      </c>
      <c r="B651" s="1">
        <v>44988</v>
      </c>
      <c r="C651" t="s">
        <v>38</v>
      </c>
      <c r="D651" t="s">
        <v>34</v>
      </c>
      <c r="E651" s="2">
        <f>Table1[[#This Row],[Quantity_Sold]] * Table1[[#This Row],[Unit_Price]] * (1 - (Table1[[#This Row],[Discount]] / 100))</f>
        <v>57976.597200000004</v>
      </c>
      <c r="F651" s="2">
        <f>Table1[[#This Row],[Quantity_Sold]] * ((Table1[[#This Row],[Unit_Price]] * (1 - (Table1[[#This Row],[Discount]] / 100))) - Table1[[#This Row],[Unit_Cost]])</f>
        <v>519.79720000000088</v>
      </c>
      <c r="G651" s="3">
        <v>16</v>
      </c>
      <c r="H651" t="s">
        <v>35</v>
      </c>
      <c r="I651">
        <v>3591.05</v>
      </c>
      <c r="J651" s="2">
        <v>3625.35</v>
      </c>
      <c r="K651" t="s">
        <v>17</v>
      </c>
      <c r="L651" s="4">
        <v>0.05</v>
      </c>
      <c r="M651" t="s">
        <v>31</v>
      </c>
      <c r="N651" t="s">
        <v>22</v>
      </c>
      <c r="O651" t="s">
        <v>48</v>
      </c>
    </row>
    <row r="652" spans="1:15" x14ac:dyDescent="0.25">
      <c r="A652" s="3">
        <v>1005</v>
      </c>
      <c r="B652" s="1">
        <v>45071</v>
      </c>
      <c r="C652" t="s">
        <v>38</v>
      </c>
      <c r="D652" t="s">
        <v>15</v>
      </c>
      <c r="E652" s="2">
        <f>Table1[[#This Row],[Quantity_Sold]] * Table1[[#This Row],[Unit_Price]] * (1 - (Table1[[#This Row],[Discount]] / 100))</f>
        <v>2896.5005839999999</v>
      </c>
      <c r="F652" s="2">
        <f>Table1[[#This Row],[Quantity_Sold]] * ((Table1[[#This Row],[Unit_Price]] * (1 - (Table1[[#This Row],[Discount]] / 100))) - Table1[[#This Row],[Unit_Cost]])</f>
        <v>112.20058399999971</v>
      </c>
      <c r="G652" s="3">
        <v>2</v>
      </c>
      <c r="H652" t="s">
        <v>29</v>
      </c>
      <c r="I652">
        <v>1392.15</v>
      </c>
      <c r="J652" s="2">
        <v>1448.54</v>
      </c>
      <c r="K652" t="s">
        <v>17</v>
      </c>
      <c r="L652" s="4">
        <v>0.02</v>
      </c>
      <c r="M652" t="s">
        <v>27</v>
      </c>
      <c r="N652" t="s">
        <v>22</v>
      </c>
      <c r="O652" t="s">
        <v>40</v>
      </c>
    </row>
    <row r="653" spans="1:15" x14ac:dyDescent="0.25">
      <c r="A653" s="3">
        <v>1035</v>
      </c>
      <c r="B653" s="1">
        <v>45142</v>
      </c>
      <c r="C653" t="s">
        <v>24</v>
      </c>
      <c r="D653" t="s">
        <v>25</v>
      </c>
      <c r="E653" s="2">
        <f>Table1[[#This Row],[Quantity_Sold]] * Table1[[#This Row],[Unit_Price]] * (1 - (Table1[[#This Row],[Discount]] / 100))</f>
        <v>114949.69764</v>
      </c>
      <c r="F653" s="2">
        <f>Table1[[#This Row],[Quantity_Sold]] * ((Table1[[#This Row],[Unit_Price]] * (1 - (Table1[[#This Row],[Discount]] / 100))) - Table1[[#This Row],[Unit_Cost]])</f>
        <v>541.09763999999814</v>
      </c>
      <c r="G653" s="3">
        <v>30</v>
      </c>
      <c r="H653" t="s">
        <v>35</v>
      </c>
      <c r="I653">
        <v>3813.62</v>
      </c>
      <c r="J653" s="2">
        <v>3839.72</v>
      </c>
      <c r="K653" t="s">
        <v>30</v>
      </c>
      <c r="L653" s="4">
        <v>0.21</v>
      </c>
      <c r="M653" t="s">
        <v>31</v>
      </c>
      <c r="N653" t="s">
        <v>19</v>
      </c>
      <c r="O653" t="s">
        <v>28</v>
      </c>
    </row>
    <row r="654" spans="1:15" x14ac:dyDescent="0.25">
      <c r="A654" s="3">
        <v>1087</v>
      </c>
      <c r="B654" s="1">
        <v>44929</v>
      </c>
      <c r="C654" t="s">
        <v>33</v>
      </c>
      <c r="D654" t="s">
        <v>34</v>
      </c>
      <c r="E654" s="2">
        <f>Table1[[#This Row],[Quantity_Sold]] * Table1[[#This Row],[Unit_Price]] * (1 - (Table1[[#This Row],[Discount]] / 100))</f>
        <v>77424.334560000003</v>
      </c>
      <c r="F654" s="2">
        <f>Table1[[#This Row],[Quantity_Sold]] * ((Table1[[#This Row],[Unit_Price]] * (1 - (Table1[[#This Row],[Discount]] / 100))) - Table1[[#This Row],[Unit_Cost]])</f>
        <v>4905.5345600000055</v>
      </c>
      <c r="G654" s="3">
        <v>20</v>
      </c>
      <c r="H654" t="s">
        <v>16</v>
      </c>
      <c r="I654">
        <v>3625.94</v>
      </c>
      <c r="J654" s="2">
        <v>3880.53</v>
      </c>
      <c r="K654" t="s">
        <v>30</v>
      </c>
      <c r="L654" s="4">
        <v>0.24</v>
      </c>
      <c r="M654" t="s">
        <v>27</v>
      </c>
      <c r="N654" t="s">
        <v>19</v>
      </c>
      <c r="O654" t="s">
        <v>36</v>
      </c>
    </row>
    <row r="655" spans="1:15" x14ac:dyDescent="0.25">
      <c r="A655" s="3">
        <v>1093</v>
      </c>
      <c r="B655" s="1">
        <v>45086</v>
      </c>
      <c r="C655" t="s">
        <v>14</v>
      </c>
      <c r="D655" t="s">
        <v>25</v>
      </c>
      <c r="E655" s="2">
        <f>Table1[[#This Row],[Quantity_Sold]] * Table1[[#This Row],[Unit_Price]] * (1 - (Table1[[#This Row],[Discount]] / 100))</f>
        <v>14816.685450000001</v>
      </c>
      <c r="F655" s="2">
        <f>Table1[[#This Row],[Quantity_Sold]] * ((Table1[[#This Row],[Unit_Price]] * (1 - (Table1[[#This Row],[Discount]] / 100))) - Table1[[#This Row],[Unit_Cost]])</f>
        <v>11526.265449999999</v>
      </c>
      <c r="G655" s="3">
        <v>38</v>
      </c>
      <c r="H655" t="s">
        <v>26</v>
      </c>
      <c r="I655">
        <v>86.59</v>
      </c>
      <c r="J655" s="2">
        <v>390.89</v>
      </c>
      <c r="K655" t="s">
        <v>17</v>
      </c>
      <c r="L655" s="4">
        <v>0.25</v>
      </c>
      <c r="M655" t="s">
        <v>31</v>
      </c>
      <c r="N655" t="s">
        <v>19</v>
      </c>
      <c r="O655" t="s">
        <v>32</v>
      </c>
    </row>
    <row r="656" spans="1:15" x14ac:dyDescent="0.25">
      <c r="A656" s="3">
        <v>1075</v>
      </c>
      <c r="B656" s="1">
        <v>45153</v>
      </c>
      <c r="C656" t="s">
        <v>33</v>
      </c>
      <c r="D656" t="s">
        <v>15</v>
      </c>
      <c r="E656" s="2">
        <f>Table1[[#This Row],[Quantity_Sold]] * Table1[[#This Row],[Unit_Price]] * (1 - (Table1[[#This Row],[Discount]] / 100))</f>
        <v>72906.140495999731</v>
      </c>
      <c r="F656" s="2">
        <f>Table1[[#This Row],[Quantity_Sold]] * ((Table1[[#This Row],[Unit_Price]] * (1 - (Table1[[#This Row],[Discount]] / 100))) - Table1[[#This Row],[Unit_Cost]])</f>
        <v>939.98049599972364</v>
      </c>
      <c r="G656" s="3">
        <v>28</v>
      </c>
      <c r="H656" t="s">
        <v>29</v>
      </c>
      <c r="I656">
        <v>2570.2199999999998</v>
      </c>
      <c r="J656" s="2">
        <v>2610.8399999999901</v>
      </c>
      <c r="K656" t="s">
        <v>17</v>
      </c>
      <c r="L656" s="4">
        <v>0.27</v>
      </c>
      <c r="M656" t="s">
        <v>27</v>
      </c>
      <c r="N656" t="s">
        <v>22</v>
      </c>
      <c r="O656" t="s">
        <v>53</v>
      </c>
    </row>
    <row r="657" spans="1:15" x14ac:dyDescent="0.25">
      <c r="A657" s="3">
        <v>1018</v>
      </c>
      <c r="B657" s="1">
        <v>45195</v>
      </c>
      <c r="C657" t="s">
        <v>24</v>
      </c>
      <c r="D657" t="s">
        <v>34</v>
      </c>
      <c r="E657" s="2">
        <f>Table1[[#This Row],[Quantity_Sold]] * Table1[[#This Row],[Unit_Price]] * (1 - (Table1[[#This Row],[Discount]] / 100))</f>
        <v>27504.053049999999</v>
      </c>
      <c r="F657" s="2">
        <f>Table1[[#This Row],[Quantity_Sold]] * ((Table1[[#This Row],[Unit_Price]] * (1 - (Table1[[#This Row],[Discount]] / 100))) - Table1[[#This Row],[Unit_Cost]])</f>
        <v>9013.3030499999986</v>
      </c>
      <c r="G657" s="3">
        <v>25</v>
      </c>
      <c r="H657" t="s">
        <v>16</v>
      </c>
      <c r="I657">
        <v>739.63</v>
      </c>
      <c r="J657" s="2">
        <v>1103.03</v>
      </c>
      <c r="K657" t="s">
        <v>30</v>
      </c>
      <c r="L657" s="4">
        <v>0.26</v>
      </c>
      <c r="M657" t="s">
        <v>27</v>
      </c>
      <c r="N657" t="s">
        <v>22</v>
      </c>
      <c r="O657" t="s">
        <v>50</v>
      </c>
    </row>
    <row r="658" spans="1:15" x14ac:dyDescent="0.25">
      <c r="A658" s="3">
        <v>1076</v>
      </c>
      <c r="B658" s="1">
        <v>45046</v>
      </c>
      <c r="C658" t="s">
        <v>38</v>
      </c>
      <c r="D658" t="s">
        <v>21</v>
      </c>
      <c r="E658" s="2">
        <f>Table1[[#This Row],[Quantity_Sold]] * Table1[[#This Row],[Unit_Price]] * (1 - (Table1[[#This Row],[Discount]] / 100))</f>
        <v>142314.49184</v>
      </c>
      <c r="F658" s="2">
        <f>Table1[[#This Row],[Quantity_Sold]] * ((Table1[[#This Row],[Unit_Price]] * (1 - (Table1[[#This Row],[Discount]] / 100))) - Table1[[#This Row],[Unit_Cost]])</f>
        <v>3504.2518400000117</v>
      </c>
      <c r="G658" s="3">
        <v>32</v>
      </c>
      <c r="H658" t="s">
        <v>29</v>
      </c>
      <c r="I658">
        <v>4337.82</v>
      </c>
      <c r="J658" s="2">
        <v>4460.71</v>
      </c>
      <c r="K658" t="s">
        <v>17</v>
      </c>
      <c r="L658" s="4">
        <v>0.3</v>
      </c>
      <c r="M658" t="s">
        <v>18</v>
      </c>
      <c r="N658" t="s">
        <v>22</v>
      </c>
      <c r="O658" t="s">
        <v>41</v>
      </c>
    </row>
    <row r="659" spans="1:15" x14ac:dyDescent="0.25">
      <c r="A659" s="3">
        <v>1009</v>
      </c>
      <c r="B659" s="1">
        <v>45015</v>
      </c>
      <c r="C659" t="s">
        <v>33</v>
      </c>
      <c r="D659" t="s">
        <v>25</v>
      </c>
      <c r="E659" s="2">
        <f>Table1[[#This Row],[Quantity_Sold]] * Table1[[#This Row],[Unit_Price]] * (1 - (Table1[[#This Row],[Discount]] / 100))</f>
        <v>47068.029300000002</v>
      </c>
      <c r="F659" s="2">
        <f>Table1[[#This Row],[Quantity_Sold]] * ((Table1[[#This Row],[Unit_Price]] * (1 - (Table1[[#This Row],[Discount]] / 100))) - Table1[[#This Row],[Unit_Cost]])</f>
        <v>3424.5292999999947</v>
      </c>
      <c r="G659" s="3">
        <v>10</v>
      </c>
      <c r="H659" t="s">
        <v>29</v>
      </c>
      <c r="I659">
        <v>4364.3500000000004</v>
      </c>
      <c r="J659" s="2">
        <v>4710.1000000000004</v>
      </c>
      <c r="K659" t="s">
        <v>30</v>
      </c>
      <c r="L659" s="4">
        <v>7.0000000000000007E-2</v>
      </c>
      <c r="M659" t="s">
        <v>31</v>
      </c>
      <c r="N659" t="s">
        <v>19</v>
      </c>
      <c r="O659" t="s">
        <v>44</v>
      </c>
    </row>
    <row r="660" spans="1:15" x14ac:dyDescent="0.25">
      <c r="A660" s="3">
        <v>1074</v>
      </c>
      <c r="B660" s="1">
        <v>45255</v>
      </c>
      <c r="C660" t="s">
        <v>38</v>
      </c>
      <c r="D660" t="s">
        <v>15</v>
      </c>
      <c r="E660" s="2">
        <f>Table1[[#This Row],[Quantity_Sold]] * Table1[[#This Row],[Unit_Price]] * (1 - (Table1[[#This Row],[Discount]] / 100))</f>
        <v>109449.166596</v>
      </c>
      <c r="F660" s="2">
        <f>Table1[[#This Row],[Quantity_Sold]] * ((Table1[[#This Row],[Unit_Price]] * (1 - (Table1[[#This Row],[Discount]] / 100))) - Table1[[#This Row],[Unit_Cost]])</f>
        <v>20375.146596000002</v>
      </c>
      <c r="G660" s="3">
        <v>42</v>
      </c>
      <c r="H660" t="s">
        <v>16</v>
      </c>
      <c r="I660">
        <v>2120.81</v>
      </c>
      <c r="J660" s="2">
        <v>2611.94</v>
      </c>
      <c r="K660" t="s">
        <v>17</v>
      </c>
      <c r="L660" s="4">
        <v>0.23</v>
      </c>
      <c r="M660" t="s">
        <v>18</v>
      </c>
      <c r="N660" t="s">
        <v>19</v>
      </c>
      <c r="O660" t="s">
        <v>40</v>
      </c>
    </row>
    <row r="661" spans="1:15" x14ac:dyDescent="0.25">
      <c r="A661" s="3">
        <v>1058</v>
      </c>
      <c r="B661" s="1">
        <v>44994</v>
      </c>
      <c r="C661" t="s">
        <v>38</v>
      </c>
      <c r="D661" t="s">
        <v>25</v>
      </c>
      <c r="E661" s="2">
        <f>Table1[[#This Row],[Quantity_Sold]] * Table1[[#This Row],[Unit_Price]] * (1 - (Table1[[#This Row],[Discount]] / 100))</f>
        <v>103748.9152</v>
      </c>
      <c r="F661" s="2">
        <f>Table1[[#This Row],[Quantity_Sold]] * ((Table1[[#This Row],[Unit_Price]] * (1 - (Table1[[#This Row],[Discount]] / 100))) - Table1[[#This Row],[Unit_Cost]])</f>
        <v>13758.515199999983</v>
      </c>
      <c r="G661" s="3">
        <v>40</v>
      </c>
      <c r="H661" t="s">
        <v>16</v>
      </c>
      <c r="I661">
        <v>2249.7600000000002</v>
      </c>
      <c r="J661" s="2">
        <v>2598.4</v>
      </c>
      <c r="K661" t="s">
        <v>17</v>
      </c>
      <c r="L661" s="4">
        <v>0.18</v>
      </c>
      <c r="M661" t="s">
        <v>31</v>
      </c>
      <c r="N661" t="s">
        <v>22</v>
      </c>
      <c r="O661" t="s">
        <v>39</v>
      </c>
    </row>
    <row r="662" spans="1:15" x14ac:dyDescent="0.25">
      <c r="A662" s="3">
        <v>1017</v>
      </c>
      <c r="B662" s="1">
        <v>45283</v>
      </c>
      <c r="C662" t="s">
        <v>42</v>
      </c>
      <c r="D662" t="s">
        <v>34</v>
      </c>
      <c r="E662" s="2">
        <f>Table1[[#This Row],[Quantity_Sold]] * Table1[[#This Row],[Unit_Price]] * (1 - (Table1[[#This Row],[Discount]] / 100))</f>
        <v>65749.688135999997</v>
      </c>
      <c r="F662" s="2">
        <f>Table1[[#This Row],[Quantity_Sold]] * ((Table1[[#This Row],[Unit_Price]] * (1 - (Table1[[#This Row],[Discount]] / 100))) - Table1[[#This Row],[Unit_Cost]])</f>
        <v>14558.438136000001</v>
      </c>
      <c r="G662" s="3">
        <v>33</v>
      </c>
      <c r="H662" t="s">
        <v>26</v>
      </c>
      <c r="I662">
        <v>1551.25</v>
      </c>
      <c r="J662" s="2">
        <v>1994.01</v>
      </c>
      <c r="K662" t="s">
        <v>17</v>
      </c>
      <c r="L662" s="4">
        <v>0.08</v>
      </c>
      <c r="M662" t="s">
        <v>18</v>
      </c>
      <c r="N662" t="s">
        <v>19</v>
      </c>
      <c r="O662" t="s">
        <v>52</v>
      </c>
    </row>
    <row r="663" spans="1:15" x14ac:dyDescent="0.25">
      <c r="A663" s="3">
        <v>1007</v>
      </c>
      <c r="B663" s="1">
        <v>45024</v>
      </c>
      <c r="C663" t="s">
        <v>33</v>
      </c>
      <c r="D663" t="s">
        <v>34</v>
      </c>
      <c r="E663" s="2">
        <f>Table1[[#This Row],[Quantity_Sold]] * Table1[[#This Row],[Unit_Price]] * (1 - (Table1[[#This Row],[Discount]] / 100))</f>
        <v>52780.152385999871</v>
      </c>
      <c r="F663" s="2">
        <f>Table1[[#This Row],[Quantity_Sold]] * ((Table1[[#This Row],[Unit_Price]] * (1 - (Table1[[#This Row],[Discount]] / 100))) - Table1[[#This Row],[Unit_Cost]])</f>
        <v>6016.5523859998748</v>
      </c>
      <c r="G663" s="3">
        <v>13</v>
      </c>
      <c r="H663" t="s">
        <v>29</v>
      </c>
      <c r="I663">
        <v>3597.2</v>
      </c>
      <c r="J663" s="2">
        <v>4071.8199999999902</v>
      </c>
      <c r="K663" t="s">
        <v>17</v>
      </c>
      <c r="L663" s="4">
        <v>0.28999999999999998</v>
      </c>
      <c r="M663" t="s">
        <v>27</v>
      </c>
      <c r="N663" t="s">
        <v>19</v>
      </c>
      <c r="O663" t="s">
        <v>36</v>
      </c>
    </row>
    <row r="664" spans="1:15" x14ac:dyDescent="0.25">
      <c r="A664" s="3">
        <v>1046</v>
      </c>
      <c r="B664" s="1">
        <v>45193</v>
      </c>
      <c r="C664" t="s">
        <v>33</v>
      </c>
      <c r="D664" t="s">
        <v>21</v>
      </c>
      <c r="E664" s="2">
        <f>Table1[[#This Row],[Quantity_Sold]] * Table1[[#This Row],[Unit_Price]] * (1 - (Table1[[#This Row],[Discount]] / 100))</f>
        <v>84799.501483999993</v>
      </c>
      <c r="F664" s="2">
        <f>Table1[[#This Row],[Quantity_Sold]] * ((Table1[[#This Row],[Unit_Price]] * (1 - (Table1[[#This Row],[Discount]] / 100))) - Table1[[#This Row],[Unit_Cost]])</f>
        <v>9959.3314840000148</v>
      </c>
      <c r="G664" s="3">
        <v>41</v>
      </c>
      <c r="H664" t="s">
        <v>29</v>
      </c>
      <c r="I664">
        <v>1825.37</v>
      </c>
      <c r="J664" s="2">
        <v>2073.88</v>
      </c>
      <c r="K664" t="s">
        <v>17</v>
      </c>
      <c r="L664" s="4">
        <v>0.27</v>
      </c>
      <c r="M664" t="s">
        <v>18</v>
      </c>
      <c r="N664" t="s">
        <v>22</v>
      </c>
      <c r="O664" t="s">
        <v>37</v>
      </c>
    </row>
    <row r="665" spans="1:15" x14ac:dyDescent="0.25">
      <c r="A665" s="3">
        <v>1013</v>
      </c>
      <c r="B665" s="1">
        <v>45031</v>
      </c>
      <c r="C665" t="s">
        <v>38</v>
      </c>
      <c r="D665" t="s">
        <v>15</v>
      </c>
      <c r="E665" s="2">
        <f>Table1[[#This Row],[Quantity_Sold]] * Table1[[#This Row],[Unit_Price]] * (1 - (Table1[[#This Row],[Discount]] / 100))</f>
        <v>72618.760872000013</v>
      </c>
      <c r="F665" s="2">
        <f>Table1[[#This Row],[Quantity_Sold]] * ((Table1[[#This Row],[Unit_Price]] * (1 - (Table1[[#This Row],[Discount]] / 100))) - Table1[[#This Row],[Unit_Cost]])</f>
        <v>14844.820872000011</v>
      </c>
      <c r="G665" s="3">
        <v>42</v>
      </c>
      <c r="H665" t="s">
        <v>16</v>
      </c>
      <c r="I665">
        <v>1375.57</v>
      </c>
      <c r="J665" s="2">
        <v>1729.71</v>
      </c>
      <c r="K665" t="s">
        <v>30</v>
      </c>
      <c r="L665" s="4">
        <v>0.04</v>
      </c>
      <c r="M665" t="s">
        <v>18</v>
      </c>
      <c r="N665" t="s">
        <v>19</v>
      </c>
      <c r="O665" t="s">
        <v>40</v>
      </c>
    </row>
    <row r="666" spans="1:15" x14ac:dyDescent="0.25">
      <c r="A666" s="3">
        <v>1040</v>
      </c>
      <c r="B666" s="1">
        <v>45249</v>
      </c>
      <c r="C666" t="s">
        <v>24</v>
      </c>
      <c r="D666" t="s">
        <v>15</v>
      </c>
      <c r="E666" s="2">
        <f>Table1[[#This Row],[Quantity_Sold]] * Table1[[#This Row],[Unit_Price]] * (1 - (Table1[[#This Row],[Discount]] / 100))</f>
        <v>122986.7001</v>
      </c>
      <c r="F666" s="2">
        <f>Table1[[#This Row],[Quantity_Sold]] * ((Table1[[#This Row],[Unit_Price]] * (1 - (Table1[[#This Row],[Discount]] / 100))) - Table1[[#This Row],[Unit_Cost]])</f>
        <v>20078.320100000001</v>
      </c>
      <c r="G666" s="3">
        <v>47</v>
      </c>
      <c r="H666" t="s">
        <v>35</v>
      </c>
      <c r="I666">
        <v>2189.54</v>
      </c>
      <c r="J666" s="2">
        <v>2617</v>
      </c>
      <c r="K666" t="s">
        <v>30</v>
      </c>
      <c r="L666" s="4">
        <v>0.01</v>
      </c>
      <c r="M666" t="s">
        <v>27</v>
      </c>
      <c r="N666" t="s">
        <v>19</v>
      </c>
      <c r="O666" t="s">
        <v>45</v>
      </c>
    </row>
    <row r="667" spans="1:15" x14ac:dyDescent="0.25">
      <c r="A667" s="3">
        <v>1042</v>
      </c>
      <c r="B667" s="1">
        <v>45049</v>
      </c>
      <c r="C667" t="s">
        <v>42</v>
      </c>
      <c r="D667" t="s">
        <v>21</v>
      </c>
      <c r="E667" s="2">
        <f>Table1[[#This Row],[Quantity_Sold]] * Table1[[#This Row],[Unit_Price]] * (1 - (Table1[[#This Row],[Discount]] / 100))</f>
        <v>25387.77348</v>
      </c>
      <c r="F667" s="2">
        <f>Table1[[#This Row],[Quantity_Sold]] * ((Table1[[#This Row],[Unit_Price]] * (1 - (Table1[[#This Row],[Discount]] / 100))) - Table1[[#This Row],[Unit_Cost]])</f>
        <v>6781.9534800000019</v>
      </c>
      <c r="G667" s="3">
        <v>37</v>
      </c>
      <c r="H667" t="s">
        <v>16</v>
      </c>
      <c r="I667">
        <v>502.86</v>
      </c>
      <c r="J667" s="2">
        <v>687.6</v>
      </c>
      <c r="K667" t="s">
        <v>17</v>
      </c>
      <c r="L667" s="4">
        <v>0.21</v>
      </c>
      <c r="M667" t="s">
        <v>18</v>
      </c>
      <c r="N667" t="s">
        <v>19</v>
      </c>
      <c r="O667" t="s">
        <v>51</v>
      </c>
    </row>
    <row r="668" spans="1:15" x14ac:dyDescent="0.25">
      <c r="A668" s="3">
        <v>1009</v>
      </c>
      <c r="B668" s="1">
        <v>44955</v>
      </c>
      <c r="C668" t="s">
        <v>38</v>
      </c>
      <c r="D668" t="s">
        <v>21</v>
      </c>
      <c r="E668" s="2">
        <f>Table1[[#This Row],[Quantity_Sold]] * Table1[[#This Row],[Unit_Price]] * (1 - (Table1[[#This Row],[Discount]] / 100))</f>
        <v>62028.467423999995</v>
      </c>
      <c r="F668" s="2">
        <f>Table1[[#This Row],[Quantity_Sold]] * ((Table1[[#This Row],[Unit_Price]] * (1 - (Table1[[#This Row],[Discount]] / 100))) - Table1[[#This Row],[Unit_Cost]])</f>
        <v>2097.4274239999941</v>
      </c>
      <c r="G668" s="3">
        <v>16</v>
      </c>
      <c r="H668" t="s">
        <v>29</v>
      </c>
      <c r="I668">
        <v>3745.69</v>
      </c>
      <c r="J668" s="2">
        <v>3883.77</v>
      </c>
      <c r="K668" t="s">
        <v>17</v>
      </c>
      <c r="L668" s="4">
        <v>0.18</v>
      </c>
      <c r="M668" t="s">
        <v>27</v>
      </c>
      <c r="N668" t="s">
        <v>22</v>
      </c>
      <c r="O668" t="s">
        <v>41</v>
      </c>
    </row>
    <row r="669" spans="1:15" x14ac:dyDescent="0.25">
      <c r="A669" s="3">
        <v>1050</v>
      </c>
      <c r="B669" s="1">
        <v>45063</v>
      </c>
      <c r="C669" t="s">
        <v>14</v>
      </c>
      <c r="D669" t="s">
        <v>15</v>
      </c>
      <c r="E669" s="2">
        <f>Table1[[#This Row],[Quantity_Sold]] * Table1[[#This Row],[Unit_Price]] * (1 - (Table1[[#This Row],[Discount]] / 100))</f>
        <v>26304.241319999997</v>
      </c>
      <c r="F669" s="2">
        <f>Table1[[#This Row],[Quantity_Sold]] * ((Table1[[#This Row],[Unit_Price]] * (1 - (Table1[[#This Row],[Discount]] / 100))) - Table1[[#This Row],[Unit_Cost]])</f>
        <v>21248.491319999997</v>
      </c>
      <c r="G669" s="3">
        <v>45</v>
      </c>
      <c r="H669" t="s">
        <v>16</v>
      </c>
      <c r="I669">
        <v>112.35</v>
      </c>
      <c r="J669" s="2">
        <v>586.17999999999995</v>
      </c>
      <c r="K669" t="s">
        <v>17</v>
      </c>
      <c r="L669" s="4">
        <v>0.28000000000000003</v>
      </c>
      <c r="M669" t="s">
        <v>31</v>
      </c>
      <c r="N669" t="s">
        <v>22</v>
      </c>
      <c r="O669" t="s">
        <v>20</v>
      </c>
    </row>
    <row r="670" spans="1:15" x14ac:dyDescent="0.25">
      <c r="A670" s="3">
        <v>1027</v>
      </c>
      <c r="B670" s="1">
        <v>45121</v>
      </c>
      <c r="C670" t="s">
        <v>14</v>
      </c>
      <c r="D670" t="s">
        <v>25</v>
      </c>
      <c r="E670" s="2">
        <f>Table1[[#This Row],[Quantity_Sold]] * Table1[[#This Row],[Unit_Price]] * (1 - (Table1[[#This Row],[Discount]] / 100))</f>
        <v>79278.446213999778</v>
      </c>
      <c r="F670" s="2">
        <f>Table1[[#This Row],[Quantity_Sold]] * ((Table1[[#This Row],[Unit_Price]] * (1 - (Table1[[#This Row],[Discount]] / 100))) - Table1[[#This Row],[Unit_Cost]])</f>
        <v>7994.0462139997817</v>
      </c>
      <c r="G670" s="3">
        <v>22</v>
      </c>
      <c r="H670" t="s">
        <v>26</v>
      </c>
      <c r="I670">
        <v>3240.2</v>
      </c>
      <c r="J670" s="2">
        <v>3606.0899999999901</v>
      </c>
      <c r="K670" t="s">
        <v>30</v>
      </c>
      <c r="L670" s="4">
        <v>7.0000000000000007E-2</v>
      </c>
      <c r="M670" t="s">
        <v>18</v>
      </c>
      <c r="N670" t="s">
        <v>19</v>
      </c>
      <c r="O670" t="s">
        <v>32</v>
      </c>
    </row>
    <row r="671" spans="1:15" x14ac:dyDescent="0.25">
      <c r="A671" s="3">
        <v>1066</v>
      </c>
      <c r="B671" s="1">
        <v>45152</v>
      </c>
      <c r="C671" t="s">
        <v>42</v>
      </c>
      <c r="D671" t="s">
        <v>25</v>
      </c>
      <c r="E671" s="2">
        <f>Table1[[#This Row],[Quantity_Sold]] * Table1[[#This Row],[Unit_Price]] * (1 - (Table1[[#This Row],[Discount]] / 100))</f>
        <v>21449.963079999998</v>
      </c>
      <c r="F671" s="2">
        <f>Table1[[#This Row],[Quantity_Sold]] * ((Table1[[#This Row],[Unit_Price]] * (1 - (Table1[[#This Row],[Discount]] / 100))) - Table1[[#This Row],[Unit_Cost]])</f>
        <v>2346.3630799999987</v>
      </c>
      <c r="G671" s="3">
        <v>20</v>
      </c>
      <c r="H671" t="s">
        <v>35</v>
      </c>
      <c r="I671">
        <v>955.18</v>
      </c>
      <c r="J671" s="2">
        <v>1072.82</v>
      </c>
      <c r="K671" t="s">
        <v>30</v>
      </c>
      <c r="L671" s="4">
        <v>0.03</v>
      </c>
      <c r="M671" t="s">
        <v>27</v>
      </c>
      <c r="N671" t="s">
        <v>22</v>
      </c>
      <c r="O671" t="s">
        <v>43</v>
      </c>
    </row>
    <row r="672" spans="1:15" x14ac:dyDescent="0.25">
      <c r="A672" s="3">
        <v>1005</v>
      </c>
      <c r="B672" s="1">
        <v>45258</v>
      </c>
      <c r="C672" t="s">
        <v>24</v>
      </c>
      <c r="D672" t="s">
        <v>21</v>
      </c>
      <c r="E672" s="2">
        <f>Table1[[#This Row],[Quantity_Sold]] * Table1[[#This Row],[Unit_Price]] * (1 - (Table1[[#This Row],[Discount]] / 100))</f>
        <v>61460.142519999994</v>
      </c>
      <c r="F672" s="2">
        <f>Table1[[#This Row],[Quantity_Sold]] * ((Table1[[#This Row],[Unit_Price]] * (1 - (Table1[[#This Row],[Discount]] / 100))) - Table1[[#This Row],[Unit_Cost]])</f>
        <v>9842.9425199999969</v>
      </c>
      <c r="G672" s="3">
        <v>43</v>
      </c>
      <c r="H672" t="s">
        <v>16</v>
      </c>
      <c r="I672">
        <v>1200.4000000000001</v>
      </c>
      <c r="J672" s="2">
        <v>1430.45</v>
      </c>
      <c r="K672" t="s">
        <v>30</v>
      </c>
      <c r="L672" s="4">
        <v>0.08</v>
      </c>
      <c r="M672" t="s">
        <v>27</v>
      </c>
      <c r="N672" t="s">
        <v>22</v>
      </c>
      <c r="O672" t="s">
        <v>47</v>
      </c>
    </row>
    <row r="673" spans="1:15" x14ac:dyDescent="0.25">
      <c r="A673" s="3">
        <v>1029</v>
      </c>
      <c r="B673" s="1">
        <v>45096</v>
      </c>
      <c r="C673" t="s">
        <v>38</v>
      </c>
      <c r="D673" t="s">
        <v>25</v>
      </c>
      <c r="E673" s="2">
        <f>Table1[[#This Row],[Quantity_Sold]] * Table1[[#This Row],[Unit_Price]] * (1 - (Table1[[#This Row],[Discount]] / 100))</f>
        <v>97099.569071999998</v>
      </c>
      <c r="F673" s="2">
        <f>Table1[[#This Row],[Quantity_Sold]] * ((Table1[[#This Row],[Unit_Price]] * (1 - (Table1[[#This Row],[Discount]] / 100))) - Table1[[#This Row],[Unit_Cost]])</f>
        <v>10797.309071999993</v>
      </c>
      <c r="G673" s="3">
        <v>27</v>
      </c>
      <c r="H673" t="s">
        <v>26</v>
      </c>
      <c r="I673">
        <v>3196.38</v>
      </c>
      <c r="J673" s="2">
        <v>3596.64</v>
      </c>
      <c r="K673" t="s">
        <v>30</v>
      </c>
      <c r="L673" s="4">
        <v>0.01</v>
      </c>
      <c r="M673" t="s">
        <v>18</v>
      </c>
      <c r="N673" t="s">
        <v>22</v>
      </c>
      <c r="O673" t="s">
        <v>39</v>
      </c>
    </row>
    <row r="674" spans="1:15" x14ac:dyDescent="0.25">
      <c r="A674" s="3">
        <v>1037</v>
      </c>
      <c r="B674" s="1">
        <v>44935</v>
      </c>
      <c r="C674" t="s">
        <v>33</v>
      </c>
      <c r="D674" t="s">
        <v>15</v>
      </c>
      <c r="E674" s="2">
        <f>Table1[[#This Row],[Quantity_Sold]] * Table1[[#This Row],[Unit_Price]] * (1 - (Table1[[#This Row],[Discount]] / 100))</f>
        <v>214946.833167</v>
      </c>
      <c r="F674" s="2">
        <f>Table1[[#This Row],[Quantity_Sold]] * ((Table1[[#This Row],[Unit_Price]] * (1 - (Table1[[#This Row],[Discount]] / 100))) - Table1[[#This Row],[Unit_Cost]])</f>
        <v>11378.96316700002</v>
      </c>
      <c r="G674" s="3">
        <v>41</v>
      </c>
      <c r="H674" t="s">
        <v>29</v>
      </c>
      <c r="I674">
        <v>4965.07</v>
      </c>
      <c r="J674" s="2">
        <v>5243.13</v>
      </c>
      <c r="K674" t="s">
        <v>30</v>
      </c>
      <c r="L674" s="4">
        <v>0.01</v>
      </c>
      <c r="M674" t="s">
        <v>31</v>
      </c>
      <c r="N674" t="s">
        <v>19</v>
      </c>
      <c r="O674" t="s">
        <v>53</v>
      </c>
    </row>
    <row r="675" spans="1:15" x14ac:dyDescent="0.25">
      <c r="A675" s="3">
        <v>1038</v>
      </c>
      <c r="B675" s="1">
        <v>44966</v>
      </c>
      <c r="C675" t="s">
        <v>42</v>
      </c>
      <c r="D675" t="s">
        <v>34</v>
      </c>
      <c r="E675" s="2">
        <f>Table1[[#This Row],[Quantity_Sold]] * Table1[[#This Row],[Unit_Price]] * (1 - (Table1[[#This Row],[Discount]] / 100))</f>
        <v>67468.222624000002</v>
      </c>
      <c r="F675" s="2">
        <f>Table1[[#This Row],[Quantity_Sold]] * ((Table1[[#This Row],[Unit_Price]] * (1 - (Table1[[#This Row],[Discount]] / 100))) - Table1[[#This Row],[Unit_Cost]])</f>
        <v>5073.0226240000047</v>
      </c>
      <c r="G675" s="3">
        <v>16</v>
      </c>
      <c r="H675" t="s">
        <v>16</v>
      </c>
      <c r="I675">
        <v>3899.7</v>
      </c>
      <c r="J675" s="2">
        <v>4228.18</v>
      </c>
      <c r="K675" t="s">
        <v>30</v>
      </c>
      <c r="L675" s="4">
        <v>0.27</v>
      </c>
      <c r="M675" t="s">
        <v>18</v>
      </c>
      <c r="N675" t="s">
        <v>22</v>
      </c>
      <c r="O675" t="s">
        <v>52</v>
      </c>
    </row>
    <row r="676" spans="1:15" x14ac:dyDescent="0.25">
      <c r="A676" s="3">
        <v>1083</v>
      </c>
      <c r="B676" s="1">
        <v>44951</v>
      </c>
      <c r="C676" t="s">
        <v>24</v>
      </c>
      <c r="D676" t="s">
        <v>34</v>
      </c>
      <c r="E676" s="2">
        <f>Table1[[#This Row],[Quantity_Sold]] * Table1[[#This Row],[Unit_Price]] * (1 - (Table1[[#This Row],[Discount]] / 100))</f>
        <v>52548.972475999995</v>
      </c>
      <c r="F676" s="2">
        <f>Table1[[#This Row],[Quantity_Sold]] * ((Table1[[#This Row],[Unit_Price]] * (1 - (Table1[[#This Row],[Discount]] / 100))) - Table1[[#This Row],[Unit_Cost]])</f>
        <v>12840.032475999997</v>
      </c>
      <c r="G676" s="3">
        <v>34</v>
      </c>
      <c r="H676" t="s">
        <v>29</v>
      </c>
      <c r="I676">
        <v>1167.9100000000001</v>
      </c>
      <c r="J676" s="2">
        <v>1547.26</v>
      </c>
      <c r="K676" t="s">
        <v>30</v>
      </c>
      <c r="L676" s="4">
        <v>0.11</v>
      </c>
      <c r="M676" t="s">
        <v>27</v>
      </c>
      <c r="N676" t="s">
        <v>19</v>
      </c>
      <c r="O676" t="s">
        <v>50</v>
      </c>
    </row>
    <row r="677" spans="1:15" x14ac:dyDescent="0.25">
      <c r="A677" s="3">
        <v>1008</v>
      </c>
      <c r="B677" s="1">
        <v>45187</v>
      </c>
      <c r="C677" t="s">
        <v>33</v>
      </c>
      <c r="D677" t="s">
        <v>25</v>
      </c>
      <c r="E677" s="2">
        <f>Table1[[#This Row],[Quantity_Sold]] * Table1[[#This Row],[Unit_Price]] * (1 - (Table1[[#This Row],[Discount]] / 100))</f>
        <v>39507.733759999996</v>
      </c>
      <c r="F677" s="2">
        <f>Table1[[#This Row],[Quantity_Sold]] * ((Table1[[#This Row],[Unit_Price]] * (1 - (Table1[[#This Row],[Discount]] / 100))) - Table1[[#This Row],[Unit_Cost]])</f>
        <v>10025.493759999994</v>
      </c>
      <c r="G677" s="3">
        <v>32</v>
      </c>
      <c r="H677" t="s">
        <v>26</v>
      </c>
      <c r="I677">
        <v>921.32</v>
      </c>
      <c r="J677" s="2">
        <v>1236.0999999999999</v>
      </c>
      <c r="K677" t="s">
        <v>30</v>
      </c>
      <c r="L677" s="4">
        <v>0.12</v>
      </c>
      <c r="M677" t="s">
        <v>31</v>
      </c>
      <c r="N677" t="s">
        <v>19</v>
      </c>
      <c r="O677" t="s">
        <v>44</v>
      </c>
    </row>
    <row r="678" spans="1:15" x14ac:dyDescent="0.25">
      <c r="A678" s="3">
        <v>1065</v>
      </c>
      <c r="B678" s="1">
        <v>45152</v>
      </c>
      <c r="C678" t="s">
        <v>14</v>
      </c>
      <c r="D678" t="s">
        <v>21</v>
      </c>
      <c r="E678" s="2">
        <f>Table1[[#This Row],[Quantity_Sold]] * Table1[[#This Row],[Unit_Price]] * (1 - (Table1[[#This Row],[Discount]] / 100))</f>
        <v>119912.74752599999</v>
      </c>
      <c r="F678" s="2">
        <f>Table1[[#This Row],[Quantity_Sold]] * ((Table1[[#This Row],[Unit_Price]] * (1 - (Table1[[#This Row],[Discount]] / 100))) - Table1[[#This Row],[Unit_Cost]])</f>
        <v>7128.6475259999861</v>
      </c>
      <c r="G678" s="3">
        <v>26</v>
      </c>
      <c r="H678" t="s">
        <v>29</v>
      </c>
      <c r="I678">
        <v>4337.8500000000004</v>
      </c>
      <c r="J678" s="2">
        <v>4612.49</v>
      </c>
      <c r="K678" t="s">
        <v>17</v>
      </c>
      <c r="L678" s="4">
        <v>0.01</v>
      </c>
      <c r="M678" t="s">
        <v>18</v>
      </c>
      <c r="N678" t="s">
        <v>22</v>
      </c>
      <c r="O678" t="s">
        <v>23</v>
      </c>
    </row>
    <row r="679" spans="1:15" x14ac:dyDescent="0.25">
      <c r="A679" s="3">
        <v>1086</v>
      </c>
      <c r="B679" s="1">
        <v>45050</v>
      </c>
      <c r="C679" t="s">
        <v>14</v>
      </c>
      <c r="D679" t="s">
        <v>21</v>
      </c>
      <c r="E679" s="2">
        <f>Table1[[#This Row],[Quantity_Sold]] * Table1[[#This Row],[Unit_Price]] * (1 - (Table1[[#This Row],[Discount]] / 100))</f>
        <v>65597.979599999991</v>
      </c>
      <c r="F679" s="2">
        <f>Table1[[#This Row],[Quantity_Sold]] * ((Table1[[#This Row],[Unit_Price]] * (1 - (Table1[[#This Row],[Discount]] / 100))) - Table1[[#This Row],[Unit_Cost]])</f>
        <v>9380.2295999999951</v>
      </c>
      <c r="G679" s="3">
        <v>25</v>
      </c>
      <c r="H679" t="s">
        <v>26</v>
      </c>
      <c r="I679">
        <v>2248.71</v>
      </c>
      <c r="J679" s="2">
        <v>2626.02</v>
      </c>
      <c r="K679" t="s">
        <v>30</v>
      </c>
      <c r="L679" s="4">
        <v>0.08</v>
      </c>
      <c r="M679" t="s">
        <v>27</v>
      </c>
      <c r="N679" t="s">
        <v>19</v>
      </c>
      <c r="O679" t="s">
        <v>23</v>
      </c>
    </row>
    <row r="680" spans="1:15" x14ac:dyDescent="0.25">
      <c r="A680" s="3">
        <v>1017</v>
      </c>
      <c r="B680" s="1">
        <v>44964</v>
      </c>
      <c r="C680" t="s">
        <v>33</v>
      </c>
      <c r="D680" t="s">
        <v>21</v>
      </c>
      <c r="E680" s="2">
        <f>Table1[[#This Row],[Quantity_Sold]] * Table1[[#This Row],[Unit_Price]] * (1 - (Table1[[#This Row],[Discount]] / 100))</f>
        <v>2184.5843840000002</v>
      </c>
      <c r="F680" s="2">
        <f>Table1[[#This Row],[Quantity_Sold]] * ((Table1[[#This Row],[Unit_Price]] * (1 - (Table1[[#This Row],[Discount]] / 100))) - Table1[[#This Row],[Unit_Cost]])</f>
        <v>727.76438400000029</v>
      </c>
      <c r="G680" s="3">
        <v>2</v>
      </c>
      <c r="H680" t="s">
        <v>26</v>
      </c>
      <c r="I680">
        <v>728.41</v>
      </c>
      <c r="J680" s="2">
        <v>1094.92</v>
      </c>
      <c r="K680" t="s">
        <v>30</v>
      </c>
      <c r="L680" s="4">
        <v>0.24</v>
      </c>
      <c r="M680" t="s">
        <v>18</v>
      </c>
      <c r="N680" t="s">
        <v>22</v>
      </c>
      <c r="O680" t="s">
        <v>37</v>
      </c>
    </row>
    <row r="681" spans="1:15" x14ac:dyDescent="0.25">
      <c r="A681" s="3">
        <v>1071</v>
      </c>
      <c r="B681" s="1">
        <v>45254</v>
      </c>
      <c r="C681" t="s">
        <v>42</v>
      </c>
      <c r="D681" t="s">
        <v>21</v>
      </c>
      <c r="E681" s="2">
        <f>Table1[[#This Row],[Quantity_Sold]] * Table1[[#This Row],[Unit_Price]] * (1 - (Table1[[#This Row],[Discount]] / 100))</f>
        <v>55538.929656</v>
      </c>
      <c r="F681" s="2">
        <f>Table1[[#This Row],[Quantity_Sold]] * ((Table1[[#This Row],[Unit_Price]] * (1 - (Table1[[#This Row],[Discount]] / 100))) - Table1[[#This Row],[Unit_Cost]])</f>
        <v>3723.5296560000024</v>
      </c>
      <c r="G681" s="3">
        <v>12</v>
      </c>
      <c r="H681" t="s">
        <v>26</v>
      </c>
      <c r="I681">
        <v>4317.95</v>
      </c>
      <c r="J681" s="2">
        <v>4636.59</v>
      </c>
      <c r="K681" t="s">
        <v>30</v>
      </c>
      <c r="L681" s="4">
        <v>0.18</v>
      </c>
      <c r="M681" t="s">
        <v>31</v>
      </c>
      <c r="N681" t="s">
        <v>22</v>
      </c>
      <c r="O681" t="s">
        <v>51</v>
      </c>
    </row>
    <row r="682" spans="1:15" x14ac:dyDescent="0.25">
      <c r="A682" s="3">
        <v>1089</v>
      </c>
      <c r="B682" s="1">
        <v>45177</v>
      </c>
      <c r="C682" t="s">
        <v>14</v>
      </c>
      <c r="D682" t="s">
        <v>21</v>
      </c>
      <c r="E682" s="2">
        <f>Table1[[#This Row],[Quantity_Sold]] * Table1[[#This Row],[Unit_Price]] * (1 - (Table1[[#This Row],[Discount]] / 100))</f>
        <v>170645.01168</v>
      </c>
      <c r="F682" s="2">
        <f>Table1[[#This Row],[Quantity_Sold]] * ((Table1[[#This Row],[Unit_Price]] * (1 - (Table1[[#This Row],[Discount]] / 100))) - Table1[[#This Row],[Unit_Cost]])</f>
        <v>7058.6116799999945</v>
      </c>
      <c r="G682" s="3">
        <v>40</v>
      </c>
      <c r="H682" t="s">
        <v>16</v>
      </c>
      <c r="I682">
        <v>4089.66</v>
      </c>
      <c r="J682" s="2">
        <v>4275.96</v>
      </c>
      <c r="K682" t="s">
        <v>30</v>
      </c>
      <c r="L682" s="4">
        <v>0.23</v>
      </c>
      <c r="M682" t="s">
        <v>31</v>
      </c>
      <c r="N682" t="s">
        <v>19</v>
      </c>
      <c r="O682" t="s">
        <v>23</v>
      </c>
    </row>
    <row r="683" spans="1:15" x14ac:dyDescent="0.25">
      <c r="A683" s="3">
        <v>1045</v>
      </c>
      <c r="B683" s="1">
        <v>45102</v>
      </c>
      <c r="C683" t="s">
        <v>38</v>
      </c>
      <c r="D683" t="s">
        <v>25</v>
      </c>
      <c r="E683" s="2">
        <f>Table1[[#This Row],[Quantity_Sold]] * Table1[[#This Row],[Unit_Price]] * (1 - (Table1[[#This Row],[Discount]] / 100))</f>
        <v>46102.698476999998</v>
      </c>
      <c r="F683" s="2">
        <f>Table1[[#This Row],[Quantity_Sold]] * ((Table1[[#This Row],[Unit_Price]] * (1 - (Table1[[#This Row],[Discount]] / 100))) - Table1[[#This Row],[Unit_Cost]])</f>
        <v>1819.6384769999959</v>
      </c>
      <c r="G683" s="3">
        <v>9</v>
      </c>
      <c r="H683" t="s">
        <v>29</v>
      </c>
      <c r="I683">
        <v>4920.34</v>
      </c>
      <c r="J683" s="2">
        <v>5129.1899999999996</v>
      </c>
      <c r="K683" t="s">
        <v>17</v>
      </c>
      <c r="L683" s="4">
        <v>0.13</v>
      </c>
      <c r="M683" t="s">
        <v>31</v>
      </c>
      <c r="N683" t="s">
        <v>19</v>
      </c>
      <c r="O683" t="s">
        <v>39</v>
      </c>
    </row>
    <row r="684" spans="1:15" x14ac:dyDescent="0.25">
      <c r="A684" s="3">
        <v>1004</v>
      </c>
      <c r="B684" s="1">
        <v>45016</v>
      </c>
      <c r="C684" t="s">
        <v>33</v>
      </c>
      <c r="D684" t="s">
        <v>34</v>
      </c>
      <c r="E684" s="2">
        <f>Table1[[#This Row],[Quantity_Sold]] * Table1[[#This Row],[Unit_Price]] * (1 - (Table1[[#This Row],[Discount]] / 100))</f>
        <v>60410.461607999998</v>
      </c>
      <c r="F684" s="2">
        <f>Table1[[#This Row],[Quantity_Sold]] * ((Table1[[#This Row],[Unit_Price]] * (1 - (Table1[[#This Row],[Discount]] / 100))) - Table1[[#This Row],[Unit_Cost]])</f>
        <v>5771.701608000003</v>
      </c>
      <c r="G684" s="3">
        <v>12</v>
      </c>
      <c r="H684" t="s">
        <v>29</v>
      </c>
      <c r="I684">
        <v>4553.2299999999996</v>
      </c>
      <c r="J684" s="2">
        <v>5038.74</v>
      </c>
      <c r="K684" t="s">
        <v>30</v>
      </c>
      <c r="L684" s="4">
        <v>0.09</v>
      </c>
      <c r="M684" t="s">
        <v>31</v>
      </c>
      <c r="N684" t="s">
        <v>22</v>
      </c>
      <c r="O684" t="s">
        <v>36</v>
      </c>
    </row>
    <row r="685" spans="1:15" x14ac:dyDescent="0.25">
      <c r="A685" s="3">
        <v>1036</v>
      </c>
      <c r="B685" s="1">
        <v>44963</v>
      </c>
      <c r="C685" t="s">
        <v>33</v>
      </c>
      <c r="D685" t="s">
        <v>34</v>
      </c>
      <c r="E685" s="2">
        <f>Table1[[#This Row],[Quantity_Sold]] * Table1[[#This Row],[Unit_Price]] * (1 - (Table1[[#This Row],[Discount]] / 100))</f>
        <v>112459.51594799975</v>
      </c>
      <c r="F685" s="2">
        <f>Table1[[#This Row],[Quantity_Sold]] * ((Table1[[#This Row],[Unit_Price]] * (1 - (Table1[[#This Row],[Discount]] / 100))) - Table1[[#This Row],[Unit_Cost]])</f>
        <v>1534.1559479997541</v>
      </c>
      <c r="G685" s="3">
        <v>26</v>
      </c>
      <c r="H685" t="s">
        <v>35</v>
      </c>
      <c r="I685">
        <v>4266.3599999999997</v>
      </c>
      <c r="J685" s="2">
        <v>4331.4299999999903</v>
      </c>
      <c r="K685" t="s">
        <v>17</v>
      </c>
      <c r="L685" s="4">
        <v>0.14000000000000001</v>
      </c>
      <c r="M685" t="s">
        <v>31</v>
      </c>
      <c r="N685" t="s">
        <v>22</v>
      </c>
      <c r="O685" t="s">
        <v>36</v>
      </c>
    </row>
    <row r="686" spans="1:15" x14ac:dyDescent="0.25">
      <c r="A686" s="3">
        <v>1070</v>
      </c>
      <c r="B686" s="1">
        <v>45242</v>
      </c>
      <c r="C686" t="s">
        <v>14</v>
      </c>
      <c r="D686" t="s">
        <v>25</v>
      </c>
      <c r="E686" s="2">
        <f>Table1[[#This Row],[Quantity_Sold]] * Table1[[#This Row],[Unit_Price]] * (1 - (Table1[[#This Row],[Discount]] / 100))</f>
        <v>4062.2237099999998</v>
      </c>
      <c r="F686" s="2">
        <f>Table1[[#This Row],[Quantity_Sold]] * ((Table1[[#This Row],[Unit_Price]] * (1 - (Table1[[#This Row],[Discount]] / 100))) - Table1[[#This Row],[Unit_Cost]])</f>
        <v>1270.0637099999997</v>
      </c>
      <c r="G686" s="3">
        <v>9</v>
      </c>
      <c r="H686" t="s">
        <v>35</v>
      </c>
      <c r="I686">
        <v>310.24</v>
      </c>
      <c r="J686" s="2">
        <v>451.81</v>
      </c>
      <c r="K686" t="s">
        <v>17</v>
      </c>
      <c r="L686" s="4">
        <v>0.1</v>
      </c>
      <c r="M686" t="s">
        <v>18</v>
      </c>
      <c r="N686" t="s">
        <v>22</v>
      </c>
      <c r="O686" t="s">
        <v>32</v>
      </c>
    </row>
    <row r="687" spans="1:15" x14ac:dyDescent="0.25">
      <c r="A687" s="3">
        <v>1031</v>
      </c>
      <c r="B687" s="1">
        <v>45102</v>
      </c>
      <c r="C687" t="s">
        <v>42</v>
      </c>
      <c r="D687" t="s">
        <v>21</v>
      </c>
      <c r="E687" s="2">
        <f>Table1[[#This Row],[Quantity_Sold]] * Table1[[#This Row],[Unit_Price]] * (1 - (Table1[[#This Row],[Discount]] / 100))</f>
        <v>8160.9465</v>
      </c>
      <c r="F687" s="2">
        <f>Table1[[#This Row],[Quantity_Sold]] * ((Table1[[#This Row],[Unit_Price]] * (1 - (Table1[[#This Row],[Discount]] / 100))) - Table1[[#This Row],[Unit_Cost]])</f>
        <v>2492.3464999999997</v>
      </c>
      <c r="G687" s="3">
        <v>10</v>
      </c>
      <c r="H687" t="s">
        <v>35</v>
      </c>
      <c r="I687">
        <v>566.86</v>
      </c>
      <c r="J687" s="2">
        <v>818.14</v>
      </c>
      <c r="K687" t="s">
        <v>17</v>
      </c>
      <c r="L687" s="4">
        <v>0.25</v>
      </c>
      <c r="M687" t="s">
        <v>31</v>
      </c>
      <c r="N687" t="s">
        <v>22</v>
      </c>
      <c r="O687" t="s">
        <v>51</v>
      </c>
    </row>
    <row r="688" spans="1:15" x14ac:dyDescent="0.25">
      <c r="A688" s="3">
        <v>1019</v>
      </c>
      <c r="B688" s="1">
        <v>45210</v>
      </c>
      <c r="C688" t="s">
        <v>38</v>
      </c>
      <c r="D688" t="s">
        <v>25</v>
      </c>
      <c r="E688" s="2">
        <f>Table1[[#This Row],[Quantity_Sold]] * Table1[[#This Row],[Unit_Price]] * (1 - (Table1[[#This Row],[Discount]] / 100))</f>
        <v>105072.38966399999</v>
      </c>
      <c r="F688" s="2">
        <f>Table1[[#This Row],[Quantity_Sold]] * ((Table1[[#This Row],[Unit_Price]] * (1 - (Table1[[#This Row],[Discount]] / 100))) - Table1[[#This Row],[Unit_Cost]])</f>
        <v>13345.349663999994</v>
      </c>
      <c r="G688" s="3">
        <v>32</v>
      </c>
      <c r="H688" t="s">
        <v>35</v>
      </c>
      <c r="I688">
        <v>2866.47</v>
      </c>
      <c r="J688" s="2">
        <v>3286.47</v>
      </c>
      <c r="K688" t="s">
        <v>30</v>
      </c>
      <c r="L688" s="4">
        <v>0.09</v>
      </c>
      <c r="M688" t="s">
        <v>31</v>
      </c>
      <c r="N688" t="s">
        <v>19</v>
      </c>
      <c r="O688" t="s">
        <v>39</v>
      </c>
    </row>
    <row r="689" spans="1:15" x14ac:dyDescent="0.25">
      <c r="A689" s="3">
        <v>1061</v>
      </c>
      <c r="B689" s="1">
        <v>45007</v>
      </c>
      <c r="C689" t="s">
        <v>42</v>
      </c>
      <c r="D689" t="s">
        <v>34</v>
      </c>
      <c r="E689" s="2">
        <f>Table1[[#This Row],[Quantity_Sold]] * Table1[[#This Row],[Unit_Price]] * (1 - (Table1[[#This Row],[Discount]] / 100))</f>
        <v>94026.250639999998</v>
      </c>
      <c r="F689" s="2">
        <f>Table1[[#This Row],[Quantity_Sold]] * ((Table1[[#This Row],[Unit_Price]] * (1 - (Table1[[#This Row],[Discount]] / 100))) - Table1[[#This Row],[Unit_Cost]])</f>
        <v>2878.3706400000001</v>
      </c>
      <c r="G689" s="3">
        <v>34</v>
      </c>
      <c r="H689" t="s">
        <v>29</v>
      </c>
      <c r="I689">
        <v>2680.82</v>
      </c>
      <c r="J689" s="2">
        <v>2771.02</v>
      </c>
      <c r="K689" t="s">
        <v>30</v>
      </c>
      <c r="L689" s="4">
        <v>0.2</v>
      </c>
      <c r="M689" t="s">
        <v>27</v>
      </c>
      <c r="N689" t="s">
        <v>19</v>
      </c>
      <c r="O689" t="s">
        <v>52</v>
      </c>
    </row>
    <row r="690" spans="1:15" x14ac:dyDescent="0.25">
      <c r="A690" s="3">
        <v>1054</v>
      </c>
      <c r="B690" s="1">
        <v>45040</v>
      </c>
      <c r="C690" t="s">
        <v>24</v>
      </c>
      <c r="D690" t="s">
        <v>15</v>
      </c>
      <c r="E690" s="2">
        <f>Table1[[#This Row],[Quantity_Sold]] * Table1[[#This Row],[Unit_Price]] * (1 - (Table1[[#This Row],[Discount]] / 100))</f>
        <v>118158.95750400001</v>
      </c>
      <c r="F690" s="2">
        <f>Table1[[#This Row],[Quantity_Sold]] * ((Table1[[#This Row],[Unit_Price]] * (1 - (Table1[[#This Row],[Discount]] / 100))) - Table1[[#This Row],[Unit_Cost]])</f>
        <v>6946.7975040000019</v>
      </c>
      <c r="G690" s="3">
        <v>48</v>
      </c>
      <c r="H690" t="s">
        <v>26</v>
      </c>
      <c r="I690">
        <v>2316.92</v>
      </c>
      <c r="J690" s="2">
        <v>2462.63</v>
      </c>
      <c r="K690" t="s">
        <v>30</v>
      </c>
      <c r="L690" s="4">
        <v>0.04</v>
      </c>
      <c r="M690" t="s">
        <v>31</v>
      </c>
      <c r="N690" t="s">
        <v>19</v>
      </c>
      <c r="O690" t="s">
        <v>45</v>
      </c>
    </row>
    <row r="691" spans="1:15" x14ac:dyDescent="0.25">
      <c r="A691" s="3">
        <v>1039</v>
      </c>
      <c r="B691" s="1">
        <v>44966</v>
      </c>
      <c r="C691" t="s">
        <v>24</v>
      </c>
      <c r="D691" t="s">
        <v>25</v>
      </c>
      <c r="E691" s="2">
        <f>Table1[[#This Row],[Quantity_Sold]] * Table1[[#This Row],[Unit_Price]] * (1 - (Table1[[#This Row],[Discount]] / 100))</f>
        <v>41040.633300000001</v>
      </c>
      <c r="F691" s="2">
        <f>Table1[[#This Row],[Quantity_Sold]] * ((Table1[[#This Row],[Unit_Price]] * (1 - (Table1[[#This Row],[Discount]] / 100))) - Table1[[#This Row],[Unit_Cost]])</f>
        <v>758.43330000000151</v>
      </c>
      <c r="G691" s="3">
        <v>20</v>
      </c>
      <c r="H691" t="s">
        <v>26</v>
      </c>
      <c r="I691">
        <v>2014.11</v>
      </c>
      <c r="J691" s="2">
        <v>2056.35</v>
      </c>
      <c r="K691" t="s">
        <v>17</v>
      </c>
      <c r="L691" s="4">
        <v>0.21</v>
      </c>
      <c r="M691" t="s">
        <v>27</v>
      </c>
      <c r="N691" t="s">
        <v>22</v>
      </c>
      <c r="O691" t="s">
        <v>28</v>
      </c>
    </row>
    <row r="692" spans="1:15" x14ac:dyDescent="0.25">
      <c r="A692" s="3">
        <v>1091</v>
      </c>
      <c r="B692" s="1">
        <v>45227</v>
      </c>
      <c r="C692" t="s">
        <v>14</v>
      </c>
      <c r="D692" t="s">
        <v>21</v>
      </c>
      <c r="E692" s="2">
        <f>Table1[[#This Row],[Quantity_Sold]] * Table1[[#This Row],[Unit_Price]] * (1 - (Table1[[#This Row],[Discount]] / 100))</f>
        <v>98808.873773999614</v>
      </c>
      <c r="F692" s="2">
        <f>Table1[[#This Row],[Quantity_Sold]] * ((Table1[[#This Row],[Unit_Price]] * (1 - (Table1[[#This Row],[Discount]] / 100))) - Table1[[#This Row],[Unit_Cost]])</f>
        <v>13613.76377399961</v>
      </c>
      <c r="G692" s="3">
        <v>39</v>
      </c>
      <c r="H692" t="s">
        <v>16</v>
      </c>
      <c r="I692">
        <v>2184.4899999999998</v>
      </c>
      <c r="J692" s="2">
        <v>2540.4199999999901</v>
      </c>
      <c r="K692" t="s">
        <v>17</v>
      </c>
      <c r="L692" s="4">
        <v>0.27</v>
      </c>
      <c r="M692" t="s">
        <v>27</v>
      </c>
      <c r="N692" t="s">
        <v>19</v>
      </c>
      <c r="O692" t="s">
        <v>23</v>
      </c>
    </row>
    <row r="693" spans="1:15" x14ac:dyDescent="0.25">
      <c r="A693" s="3">
        <v>1074</v>
      </c>
      <c r="B693" s="1">
        <v>45150</v>
      </c>
      <c r="C693" t="s">
        <v>14</v>
      </c>
      <c r="D693" t="s">
        <v>34</v>
      </c>
      <c r="E693" s="2">
        <f>Table1[[#This Row],[Quantity_Sold]] * Table1[[#This Row],[Unit_Price]] * (1 - (Table1[[#This Row],[Discount]] / 100))</f>
        <v>5978.6989359999998</v>
      </c>
      <c r="F693" s="2">
        <f>Table1[[#This Row],[Quantity_Sold]] * ((Table1[[#This Row],[Unit_Price]] * (1 - (Table1[[#This Row],[Discount]] / 100))) - Table1[[#This Row],[Unit_Cost]])</f>
        <v>242.65893599999981</v>
      </c>
      <c r="G693" s="3">
        <v>2</v>
      </c>
      <c r="H693" t="s">
        <v>26</v>
      </c>
      <c r="I693">
        <v>2868.02</v>
      </c>
      <c r="J693" s="2">
        <v>2994.74</v>
      </c>
      <c r="K693" t="s">
        <v>17</v>
      </c>
      <c r="L693" s="4">
        <v>0.18</v>
      </c>
      <c r="M693" t="s">
        <v>27</v>
      </c>
      <c r="N693" t="s">
        <v>19</v>
      </c>
      <c r="O693" t="s">
        <v>46</v>
      </c>
    </row>
    <row r="694" spans="1:15" x14ac:dyDescent="0.25">
      <c r="A694" s="3">
        <v>1090</v>
      </c>
      <c r="B694" s="1">
        <v>45244</v>
      </c>
      <c r="C694" t="s">
        <v>14</v>
      </c>
      <c r="D694" t="s">
        <v>34</v>
      </c>
      <c r="E694" s="2">
        <f>Table1[[#This Row],[Quantity_Sold]] * Table1[[#This Row],[Unit_Price]] * (1 - (Table1[[#This Row],[Discount]] / 100))</f>
        <v>260.28675900000002</v>
      </c>
      <c r="F694" s="2">
        <f>Table1[[#This Row],[Quantity_Sold]] * ((Table1[[#This Row],[Unit_Price]] * (1 - (Table1[[#This Row],[Discount]] / 100))) - Table1[[#This Row],[Unit_Cost]])</f>
        <v>200.00675900000002</v>
      </c>
      <c r="G694" s="3">
        <v>1</v>
      </c>
      <c r="H694" t="s">
        <v>29</v>
      </c>
      <c r="I694">
        <v>60.28</v>
      </c>
      <c r="J694" s="2">
        <v>260.73</v>
      </c>
      <c r="K694" t="s">
        <v>17</v>
      </c>
      <c r="L694" s="4">
        <v>0.17</v>
      </c>
      <c r="M694" t="s">
        <v>18</v>
      </c>
      <c r="N694" t="s">
        <v>19</v>
      </c>
      <c r="O694" t="s">
        <v>46</v>
      </c>
    </row>
    <row r="695" spans="1:15" x14ac:dyDescent="0.25">
      <c r="A695" s="3">
        <v>1019</v>
      </c>
      <c r="B695" s="1">
        <v>45275</v>
      </c>
      <c r="C695" t="s">
        <v>24</v>
      </c>
      <c r="D695" t="s">
        <v>34</v>
      </c>
      <c r="E695" s="2">
        <f>Table1[[#This Row],[Quantity_Sold]] * Table1[[#This Row],[Unit_Price]] * (1 - (Table1[[#This Row],[Discount]] / 100))</f>
        <v>56281.429152000004</v>
      </c>
      <c r="F695" s="2">
        <f>Table1[[#This Row],[Quantity_Sold]] * ((Table1[[#This Row],[Unit_Price]] * (1 - (Table1[[#This Row],[Discount]] / 100))) - Table1[[#This Row],[Unit_Cost]])</f>
        <v>8023.0691519999991</v>
      </c>
      <c r="G695" s="3">
        <v>36</v>
      </c>
      <c r="H695" t="s">
        <v>29</v>
      </c>
      <c r="I695">
        <v>1340.51</v>
      </c>
      <c r="J695" s="2">
        <v>1567.92</v>
      </c>
      <c r="K695" t="s">
        <v>30</v>
      </c>
      <c r="L695" s="4">
        <v>0.28999999999999998</v>
      </c>
      <c r="M695" t="s">
        <v>18</v>
      </c>
      <c r="N695" t="s">
        <v>19</v>
      </c>
      <c r="O695" t="s">
        <v>50</v>
      </c>
    </row>
    <row r="696" spans="1:15" x14ac:dyDescent="0.25">
      <c r="A696" s="3">
        <v>1039</v>
      </c>
      <c r="B696" s="1">
        <v>45041</v>
      </c>
      <c r="C696" t="s">
        <v>42</v>
      </c>
      <c r="D696" t="s">
        <v>34</v>
      </c>
      <c r="E696" s="2">
        <f>Table1[[#This Row],[Quantity_Sold]] * Table1[[#This Row],[Unit_Price]] * (1 - (Table1[[#This Row],[Discount]] / 100))</f>
        <v>73353.642768000005</v>
      </c>
      <c r="F696" s="2">
        <f>Table1[[#This Row],[Quantity_Sold]] * ((Table1[[#This Row],[Unit_Price]] * (1 - (Table1[[#This Row],[Discount]] / 100))) - Table1[[#This Row],[Unit_Cost]])</f>
        <v>10582.122767999997</v>
      </c>
      <c r="G696" s="3">
        <v>24</v>
      </c>
      <c r="H696" t="s">
        <v>29</v>
      </c>
      <c r="I696">
        <v>2615.48</v>
      </c>
      <c r="J696" s="2">
        <v>3062.22</v>
      </c>
      <c r="K696" t="s">
        <v>30</v>
      </c>
      <c r="L696" s="4">
        <v>0.19</v>
      </c>
      <c r="M696" t="s">
        <v>27</v>
      </c>
      <c r="N696" t="s">
        <v>22</v>
      </c>
      <c r="O696" t="s">
        <v>52</v>
      </c>
    </row>
    <row r="697" spans="1:15" x14ac:dyDescent="0.25">
      <c r="A697" s="3">
        <v>1067</v>
      </c>
      <c r="B697" s="1">
        <v>45112</v>
      </c>
      <c r="C697" t="s">
        <v>42</v>
      </c>
      <c r="D697" t="s">
        <v>21</v>
      </c>
      <c r="E697" s="2">
        <f>Table1[[#This Row],[Quantity_Sold]] * Table1[[#This Row],[Unit_Price]] * (1 - (Table1[[#This Row],[Discount]] / 100))</f>
        <v>103503.17116799999</v>
      </c>
      <c r="F697" s="2">
        <f>Table1[[#This Row],[Quantity_Sold]] * ((Table1[[#This Row],[Unit_Price]] * (1 - (Table1[[#This Row],[Discount]] / 100))) - Table1[[#This Row],[Unit_Cost]])</f>
        <v>5628.9811680000084</v>
      </c>
      <c r="G697" s="3">
        <v>27</v>
      </c>
      <c r="H697" t="s">
        <v>16</v>
      </c>
      <c r="I697">
        <v>3624.97</v>
      </c>
      <c r="J697" s="2">
        <v>3836.52</v>
      </c>
      <c r="K697" t="s">
        <v>30</v>
      </c>
      <c r="L697" s="4">
        <v>0.08</v>
      </c>
      <c r="M697" t="s">
        <v>18</v>
      </c>
      <c r="N697" t="s">
        <v>19</v>
      </c>
      <c r="O697" t="s">
        <v>51</v>
      </c>
    </row>
    <row r="698" spans="1:15" x14ac:dyDescent="0.25">
      <c r="A698" s="3">
        <v>1045</v>
      </c>
      <c r="B698" s="1">
        <v>45249</v>
      </c>
      <c r="C698" t="s">
        <v>14</v>
      </c>
      <c r="D698" t="s">
        <v>15</v>
      </c>
      <c r="E698" s="2">
        <f>Table1[[#This Row],[Quantity_Sold]] * Table1[[#This Row],[Unit_Price]] * (1 - (Table1[[#This Row],[Discount]] / 100))</f>
        <v>1984.692168</v>
      </c>
      <c r="F698" s="2">
        <f>Table1[[#This Row],[Quantity_Sold]] * ((Table1[[#This Row],[Unit_Price]] * (1 - (Table1[[#This Row],[Discount]] / 100))) - Table1[[#This Row],[Unit_Cost]])</f>
        <v>160.53216799999996</v>
      </c>
      <c r="G698" s="3">
        <v>2</v>
      </c>
      <c r="H698" t="s">
        <v>35</v>
      </c>
      <c r="I698">
        <v>912.08</v>
      </c>
      <c r="J698" s="2">
        <v>993.24</v>
      </c>
      <c r="K698" t="s">
        <v>17</v>
      </c>
      <c r="L698" s="4">
        <v>0.09</v>
      </c>
      <c r="M698" t="s">
        <v>31</v>
      </c>
      <c r="N698" t="s">
        <v>19</v>
      </c>
      <c r="O698" t="s">
        <v>20</v>
      </c>
    </row>
    <row r="699" spans="1:15" x14ac:dyDescent="0.25">
      <c r="A699" s="3">
        <v>1013</v>
      </c>
      <c r="B699" s="1">
        <v>44982</v>
      </c>
      <c r="C699" t="s">
        <v>38</v>
      </c>
      <c r="D699" t="s">
        <v>34</v>
      </c>
      <c r="E699" s="2">
        <f>Table1[[#This Row],[Quantity_Sold]] * Table1[[#This Row],[Unit_Price]] * (1 - (Table1[[#This Row],[Discount]] / 100))</f>
        <v>93546.209552999993</v>
      </c>
      <c r="F699" s="2">
        <f>Table1[[#This Row],[Quantity_Sold]] * ((Table1[[#This Row],[Unit_Price]] * (1 - (Table1[[#This Row],[Discount]] / 100))) - Table1[[#This Row],[Unit_Cost]])</f>
        <v>8077.349553</v>
      </c>
      <c r="G699" s="3">
        <v>31</v>
      </c>
      <c r="H699" t="s">
        <v>26</v>
      </c>
      <c r="I699">
        <v>2757.06</v>
      </c>
      <c r="J699" s="2">
        <v>3023.97</v>
      </c>
      <c r="K699" t="s">
        <v>17</v>
      </c>
      <c r="L699" s="4">
        <v>0.21</v>
      </c>
      <c r="M699" t="s">
        <v>18</v>
      </c>
      <c r="N699" t="s">
        <v>19</v>
      </c>
      <c r="O699" t="s">
        <v>48</v>
      </c>
    </row>
    <row r="700" spans="1:15" x14ac:dyDescent="0.25">
      <c r="A700" s="3">
        <v>1092</v>
      </c>
      <c r="B700" s="1">
        <v>44966</v>
      </c>
      <c r="C700" t="s">
        <v>42</v>
      </c>
      <c r="D700" t="s">
        <v>25</v>
      </c>
      <c r="E700" s="2">
        <f>Table1[[#This Row],[Quantity_Sold]] * Table1[[#This Row],[Unit_Price]] * (1 - (Table1[[#This Row],[Discount]] / 100))</f>
        <v>56832.712355999996</v>
      </c>
      <c r="F700" s="2">
        <f>Table1[[#This Row],[Quantity_Sold]] * ((Table1[[#This Row],[Unit_Price]] * (1 - (Table1[[#This Row],[Discount]] / 100))) - Table1[[#This Row],[Unit_Cost]])</f>
        <v>6620.5923559999983</v>
      </c>
      <c r="G700" s="3">
        <v>14</v>
      </c>
      <c r="H700" t="s">
        <v>29</v>
      </c>
      <c r="I700">
        <v>3586.58</v>
      </c>
      <c r="J700" s="2">
        <v>4068.43</v>
      </c>
      <c r="K700" t="s">
        <v>30</v>
      </c>
      <c r="L700" s="4">
        <v>0.22</v>
      </c>
      <c r="M700" t="s">
        <v>31</v>
      </c>
      <c r="N700" t="s">
        <v>19</v>
      </c>
      <c r="O700" t="s">
        <v>43</v>
      </c>
    </row>
    <row r="701" spans="1:15" x14ac:dyDescent="0.25">
      <c r="A701" s="3">
        <v>1058</v>
      </c>
      <c r="B701" s="1">
        <v>45280</v>
      </c>
      <c r="C701" t="s">
        <v>24</v>
      </c>
      <c r="D701" t="s">
        <v>15</v>
      </c>
      <c r="E701" s="2">
        <f>Table1[[#This Row],[Quantity_Sold]] * Table1[[#This Row],[Unit_Price]] * (1 - (Table1[[#This Row],[Discount]] / 100))</f>
        <v>5112.7543759999999</v>
      </c>
      <c r="F701" s="2">
        <f>Table1[[#This Row],[Quantity_Sold]] * ((Table1[[#This Row],[Unit_Price]] * (1 - (Table1[[#This Row],[Discount]] / 100))) - Table1[[#This Row],[Unit_Cost]])</f>
        <v>610.93437600000016</v>
      </c>
      <c r="G701" s="3">
        <v>2</v>
      </c>
      <c r="H701" t="s">
        <v>29</v>
      </c>
      <c r="I701">
        <v>2250.91</v>
      </c>
      <c r="J701" s="2">
        <v>2558.6799999999998</v>
      </c>
      <c r="K701" t="s">
        <v>30</v>
      </c>
      <c r="L701" s="4">
        <v>0.09</v>
      </c>
      <c r="M701" t="s">
        <v>31</v>
      </c>
      <c r="N701" t="s">
        <v>22</v>
      </c>
      <c r="O701" t="s">
        <v>45</v>
      </c>
    </row>
    <row r="702" spans="1:15" x14ac:dyDescent="0.25">
      <c r="A702" s="3">
        <v>1020</v>
      </c>
      <c r="B702" s="1">
        <v>44966</v>
      </c>
      <c r="C702" t="s">
        <v>33</v>
      </c>
      <c r="D702" t="s">
        <v>34</v>
      </c>
      <c r="E702" s="2">
        <f>Table1[[#This Row],[Quantity_Sold]] * Table1[[#This Row],[Unit_Price]] * (1 - (Table1[[#This Row],[Discount]] / 100))</f>
        <v>19581.78861</v>
      </c>
      <c r="F702" s="2">
        <f>Table1[[#This Row],[Quantity_Sold]] * ((Table1[[#This Row],[Unit_Price]] * (1 - (Table1[[#This Row],[Discount]] / 100))) - Table1[[#This Row],[Unit_Cost]])</f>
        <v>14244.338609999997</v>
      </c>
      <c r="G702" s="3">
        <v>29</v>
      </c>
      <c r="H702" t="s">
        <v>35</v>
      </c>
      <c r="I702">
        <v>184.05</v>
      </c>
      <c r="J702" s="2">
        <v>675.91</v>
      </c>
      <c r="K702" t="s">
        <v>17</v>
      </c>
      <c r="L702" s="4">
        <v>0.1</v>
      </c>
      <c r="M702" t="s">
        <v>18</v>
      </c>
      <c r="N702" t="s">
        <v>22</v>
      </c>
      <c r="O702" t="s">
        <v>36</v>
      </c>
    </row>
    <row r="703" spans="1:15" x14ac:dyDescent="0.25">
      <c r="A703" s="3">
        <v>1092</v>
      </c>
      <c r="B703" s="1">
        <v>45273</v>
      </c>
      <c r="C703" t="s">
        <v>33</v>
      </c>
      <c r="D703" t="s">
        <v>15</v>
      </c>
      <c r="E703" s="2">
        <f>Table1[[#This Row],[Quantity_Sold]] * Table1[[#This Row],[Unit_Price]] * (1 - (Table1[[#This Row],[Discount]] / 100))</f>
        <v>40318.979100000004</v>
      </c>
      <c r="F703" s="2">
        <f>Table1[[#This Row],[Quantity_Sold]] * ((Table1[[#This Row],[Unit_Price]] * (1 - (Table1[[#This Row],[Discount]] / 100))) - Table1[[#This Row],[Unit_Cost]])</f>
        <v>6210.7790999999979</v>
      </c>
      <c r="G703" s="3">
        <v>15</v>
      </c>
      <c r="H703" t="s">
        <v>29</v>
      </c>
      <c r="I703">
        <v>2273.88</v>
      </c>
      <c r="J703" s="2">
        <v>2696.02</v>
      </c>
      <c r="K703" t="s">
        <v>30</v>
      </c>
      <c r="L703" s="4">
        <v>0.3</v>
      </c>
      <c r="M703" t="s">
        <v>18</v>
      </c>
      <c r="N703" t="s">
        <v>19</v>
      </c>
      <c r="O703" t="s">
        <v>53</v>
      </c>
    </row>
    <row r="704" spans="1:15" x14ac:dyDescent="0.25">
      <c r="A704" s="3">
        <v>1072</v>
      </c>
      <c r="B704" s="1">
        <v>45163</v>
      </c>
      <c r="C704" t="s">
        <v>33</v>
      </c>
      <c r="D704" t="s">
        <v>25</v>
      </c>
      <c r="E704" s="2">
        <f>Table1[[#This Row],[Quantity_Sold]] * Table1[[#This Row],[Unit_Price]] * (1 - (Table1[[#This Row],[Discount]] / 100))</f>
        <v>18534.677927999997</v>
      </c>
      <c r="F704" s="2">
        <f>Table1[[#This Row],[Quantity_Sold]] * ((Table1[[#This Row],[Unit_Price]] * (1 - (Table1[[#This Row],[Discount]] / 100))) - Table1[[#This Row],[Unit_Cost]])</f>
        <v>325.87792799999806</v>
      </c>
      <c r="G704" s="3">
        <v>12</v>
      </c>
      <c r="H704" t="s">
        <v>26</v>
      </c>
      <c r="I704">
        <v>1517.4</v>
      </c>
      <c r="J704" s="2">
        <v>1545.02</v>
      </c>
      <c r="K704" t="s">
        <v>30</v>
      </c>
      <c r="L704" s="4">
        <v>0.03</v>
      </c>
      <c r="M704" t="s">
        <v>27</v>
      </c>
      <c r="N704" t="s">
        <v>22</v>
      </c>
      <c r="O704" t="s">
        <v>44</v>
      </c>
    </row>
    <row r="705" spans="1:15" x14ac:dyDescent="0.25">
      <c r="A705" s="3">
        <v>1061</v>
      </c>
      <c r="B705" s="1">
        <v>45215</v>
      </c>
      <c r="C705" t="s">
        <v>38</v>
      </c>
      <c r="D705" t="s">
        <v>34</v>
      </c>
      <c r="E705" s="2">
        <f>Table1[[#This Row],[Quantity_Sold]] * Table1[[#This Row],[Unit_Price]] * (1 - (Table1[[#This Row],[Discount]] / 100))</f>
        <v>184201.12308400002</v>
      </c>
      <c r="F705" s="2">
        <f>Table1[[#This Row],[Quantity_Sold]] * ((Table1[[#This Row],[Unit_Price]] * (1 - (Table1[[#This Row],[Discount]] / 100))) - Table1[[#This Row],[Unit_Cost]])</f>
        <v>12085.633084000012</v>
      </c>
      <c r="G705" s="3">
        <v>37</v>
      </c>
      <c r="H705" t="s">
        <v>16</v>
      </c>
      <c r="I705">
        <v>4651.7700000000004</v>
      </c>
      <c r="J705" s="2">
        <v>4984.3900000000003</v>
      </c>
      <c r="K705" t="s">
        <v>17</v>
      </c>
      <c r="L705" s="4">
        <v>0.12</v>
      </c>
      <c r="M705" t="s">
        <v>18</v>
      </c>
      <c r="N705" t="s">
        <v>22</v>
      </c>
      <c r="O705" t="s">
        <v>48</v>
      </c>
    </row>
    <row r="706" spans="1:15" x14ac:dyDescent="0.25">
      <c r="A706" s="3">
        <v>1039</v>
      </c>
      <c r="B706" s="1">
        <v>45188</v>
      </c>
      <c r="C706" t="s">
        <v>14</v>
      </c>
      <c r="D706" t="s">
        <v>25</v>
      </c>
      <c r="E706" s="2">
        <f>Table1[[#This Row],[Quantity_Sold]] * Table1[[#This Row],[Unit_Price]] * (1 - (Table1[[#This Row],[Discount]] / 100))</f>
        <v>22881.502784000004</v>
      </c>
      <c r="F706" s="2">
        <f>Table1[[#This Row],[Quantity_Sold]] * ((Table1[[#This Row],[Unit_Price]] * (1 - (Table1[[#This Row],[Discount]] / 100))) - Table1[[#This Row],[Unit_Cost]])</f>
        <v>4209.9827840000007</v>
      </c>
      <c r="G706" s="3">
        <v>28</v>
      </c>
      <c r="H706" t="s">
        <v>29</v>
      </c>
      <c r="I706">
        <v>666.84</v>
      </c>
      <c r="J706" s="2">
        <v>817.36</v>
      </c>
      <c r="K706" t="s">
        <v>17</v>
      </c>
      <c r="L706" s="4">
        <v>0.02</v>
      </c>
      <c r="M706" t="s">
        <v>18</v>
      </c>
      <c r="N706" t="s">
        <v>22</v>
      </c>
      <c r="O706" t="s">
        <v>32</v>
      </c>
    </row>
    <row r="707" spans="1:15" x14ac:dyDescent="0.25">
      <c r="A707" s="3">
        <v>1001</v>
      </c>
      <c r="B707" s="1">
        <v>45142</v>
      </c>
      <c r="C707" t="s">
        <v>24</v>
      </c>
      <c r="D707" t="s">
        <v>21</v>
      </c>
      <c r="E707" s="2">
        <f>Table1[[#This Row],[Quantity_Sold]] * Table1[[#This Row],[Unit_Price]] * (1 - (Table1[[#This Row],[Discount]] / 100))</f>
        <v>71101.201499999996</v>
      </c>
      <c r="F707" s="2">
        <f>Table1[[#This Row],[Quantity_Sold]] * ((Table1[[#This Row],[Unit_Price]] * (1 - (Table1[[#This Row],[Discount]] / 100))) - Table1[[#This Row],[Unit_Cost]])</f>
        <v>5506.001499999993</v>
      </c>
      <c r="G707" s="3">
        <v>20</v>
      </c>
      <c r="H707" t="s">
        <v>26</v>
      </c>
      <c r="I707">
        <v>3279.76</v>
      </c>
      <c r="J707" s="2">
        <v>3563.97</v>
      </c>
      <c r="K707" t="s">
        <v>17</v>
      </c>
      <c r="L707" s="4">
        <v>0.25</v>
      </c>
      <c r="M707" t="s">
        <v>18</v>
      </c>
      <c r="N707" t="s">
        <v>22</v>
      </c>
      <c r="O707" t="s">
        <v>47</v>
      </c>
    </row>
    <row r="708" spans="1:15" x14ac:dyDescent="0.25">
      <c r="A708" s="3">
        <v>1003</v>
      </c>
      <c r="B708" s="1">
        <v>45073</v>
      </c>
      <c r="C708" t="s">
        <v>38</v>
      </c>
      <c r="D708" t="s">
        <v>34</v>
      </c>
      <c r="E708" s="2">
        <f>Table1[[#This Row],[Quantity_Sold]] * Table1[[#This Row],[Unit_Price]] * (1 - (Table1[[#This Row],[Discount]] / 100))</f>
        <v>17850.403272</v>
      </c>
      <c r="F708" s="2">
        <f>Table1[[#This Row],[Quantity_Sold]] * ((Table1[[#This Row],[Unit_Price]] * (1 - (Table1[[#This Row],[Discount]] / 100))) - Table1[[#This Row],[Unit_Cost]])</f>
        <v>5722.9632720000009</v>
      </c>
      <c r="G708" s="3">
        <v>39</v>
      </c>
      <c r="H708" t="s">
        <v>29</v>
      </c>
      <c r="I708">
        <v>310.95999999999998</v>
      </c>
      <c r="J708" s="2">
        <v>457.84</v>
      </c>
      <c r="K708" t="s">
        <v>30</v>
      </c>
      <c r="L708" s="4">
        <v>0.03</v>
      </c>
      <c r="M708" t="s">
        <v>31</v>
      </c>
      <c r="N708" t="s">
        <v>19</v>
      </c>
      <c r="O708" t="s">
        <v>48</v>
      </c>
    </row>
    <row r="709" spans="1:15" x14ac:dyDescent="0.25">
      <c r="A709" s="3">
        <v>1077</v>
      </c>
      <c r="B709" s="1">
        <v>45262</v>
      </c>
      <c r="C709" t="s">
        <v>24</v>
      </c>
      <c r="D709" t="s">
        <v>34</v>
      </c>
      <c r="E709" s="2">
        <f>Table1[[#This Row],[Quantity_Sold]] * Table1[[#This Row],[Unit_Price]] * (1 - (Table1[[#This Row],[Discount]] / 100))</f>
        <v>58430.664479999992</v>
      </c>
      <c r="F709" s="2">
        <f>Table1[[#This Row],[Quantity_Sold]] * ((Table1[[#This Row],[Unit_Price]] * (1 - (Table1[[#This Row],[Discount]] / 100))) - Table1[[#This Row],[Unit_Cost]])</f>
        <v>4225.7044799999967</v>
      </c>
      <c r="G709" s="3">
        <v>24</v>
      </c>
      <c r="H709" t="s">
        <v>35</v>
      </c>
      <c r="I709">
        <v>2258.54</v>
      </c>
      <c r="J709" s="2">
        <v>2439.4899999999998</v>
      </c>
      <c r="K709" t="s">
        <v>17</v>
      </c>
      <c r="L709" s="4">
        <v>0.2</v>
      </c>
      <c r="M709" t="s">
        <v>31</v>
      </c>
      <c r="N709" t="s">
        <v>22</v>
      </c>
      <c r="O709" t="s">
        <v>50</v>
      </c>
    </row>
    <row r="710" spans="1:15" x14ac:dyDescent="0.25">
      <c r="A710" s="3">
        <v>1092</v>
      </c>
      <c r="B710" s="1">
        <v>45094</v>
      </c>
      <c r="C710" t="s">
        <v>24</v>
      </c>
      <c r="D710" t="s">
        <v>34</v>
      </c>
      <c r="E710" s="2">
        <f>Table1[[#This Row],[Quantity_Sold]] * Table1[[#This Row],[Unit_Price]] * (1 - (Table1[[#This Row],[Discount]] / 100))</f>
        <v>68331.880889999797</v>
      </c>
      <c r="F710" s="2">
        <f>Table1[[#This Row],[Quantity_Sold]] * ((Table1[[#This Row],[Unit_Price]] * (1 - (Table1[[#This Row],[Discount]] / 100))) - Table1[[#This Row],[Unit_Cost]])</f>
        <v>9695.6808899998014</v>
      </c>
      <c r="G710" s="3">
        <v>21</v>
      </c>
      <c r="H710" t="s">
        <v>29</v>
      </c>
      <c r="I710">
        <v>2792.2</v>
      </c>
      <c r="J710" s="2">
        <v>3254.5499999999902</v>
      </c>
      <c r="K710" t="s">
        <v>30</v>
      </c>
      <c r="L710" s="4">
        <v>0.02</v>
      </c>
      <c r="M710" t="s">
        <v>31</v>
      </c>
      <c r="N710" t="s">
        <v>22</v>
      </c>
      <c r="O710" t="s">
        <v>50</v>
      </c>
    </row>
    <row r="711" spans="1:15" x14ac:dyDescent="0.25">
      <c r="A711" s="3">
        <v>1062</v>
      </c>
      <c r="B711" s="1">
        <v>45018</v>
      </c>
      <c r="C711" t="s">
        <v>14</v>
      </c>
      <c r="D711" t="s">
        <v>34</v>
      </c>
      <c r="E711" s="2">
        <f>Table1[[#This Row],[Quantity_Sold]] * Table1[[#This Row],[Unit_Price]] * (1 - (Table1[[#This Row],[Discount]] / 100))</f>
        <v>16328.677200000002</v>
      </c>
      <c r="F711" s="2">
        <f>Table1[[#This Row],[Quantity_Sold]] * ((Table1[[#This Row],[Unit_Price]] * (1 - (Table1[[#This Row],[Discount]] / 100))) - Table1[[#This Row],[Unit_Cost]])</f>
        <v>1079.8772000000008</v>
      </c>
      <c r="G711" s="3">
        <v>10</v>
      </c>
      <c r="H711" t="s">
        <v>29</v>
      </c>
      <c r="I711">
        <v>1524.88</v>
      </c>
      <c r="J711" s="2">
        <v>1636.14</v>
      </c>
      <c r="K711" t="s">
        <v>30</v>
      </c>
      <c r="L711" s="4">
        <v>0.2</v>
      </c>
      <c r="M711" t="s">
        <v>27</v>
      </c>
      <c r="N711" t="s">
        <v>19</v>
      </c>
      <c r="O711" t="s">
        <v>46</v>
      </c>
    </row>
    <row r="712" spans="1:15" x14ac:dyDescent="0.25">
      <c r="A712" s="3">
        <v>1063</v>
      </c>
      <c r="B712" s="1">
        <v>45279</v>
      </c>
      <c r="C712" t="s">
        <v>33</v>
      </c>
      <c r="D712" t="s">
        <v>21</v>
      </c>
      <c r="E712" s="2">
        <f>Table1[[#This Row],[Quantity_Sold]] * Table1[[#This Row],[Unit_Price]] * (1 - (Table1[[#This Row],[Discount]] / 100))</f>
        <v>125767.57305000001</v>
      </c>
      <c r="F712" s="2">
        <f>Table1[[#This Row],[Quantity_Sold]] * ((Table1[[#This Row],[Unit_Price]] * (1 - (Table1[[#This Row],[Discount]] / 100))) - Table1[[#This Row],[Unit_Cost]])</f>
        <v>19847.053050000006</v>
      </c>
      <c r="G712" s="3">
        <v>46</v>
      </c>
      <c r="H712" t="s">
        <v>16</v>
      </c>
      <c r="I712">
        <v>2302.62</v>
      </c>
      <c r="J712" s="2">
        <v>2740.93</v>
      </c>
      <c r="K712" t="s">
        <v>17</v>
      </c>
      <c r="L712" s="4">
        <v>0.25</v>
      </c>
      <c r="M712" t="s">
        <v>27</v>
      </c>
      <c r="N712" t="s">
        <v>19</v>
      </c>
      <c r="O712" t="s">
        <v>37</v>
      </c>
    </row>
    <row r="713" spans="1:15" x14ac:dyDescent="0.25">
      <c r="A713" s="3">
        <v>1025</v>
      </c>
      <c r="B713" s="1">
        <v>44985</v>
      </c>
      <c r="C713" t="s">
        <v>14</v>
      </c>
      <c r="D713" t="s">
        <v>34</v>
      </c>
      <c r="E713" s="2">
        <f>Table1[[#This Row],[Quantity_Sold]] * Table1[[#This Row],[Unit_Price]] * (1 - (Table1[[#This Row],[Discount]] / 100))</f>
        <v>12368.280231999999</v>
      </c>
      <c r="F713" s="2">
        <f>Table1[[#This Row],[Quantity_Sold]] * ((Table1[[#This Row],[Unit_Price]] * (1 - (Table1[[#This Row],[Discount]] / 100))) - Table1[[#This Row],[Unit_Cost]])</f>
        <v>334.02023199999917</v>
      </c>
      <c r="G713" s="3">
        <v>14</v>
      </c>
      <c r="H713" t="s">
        <v>35</v>
      </c>
      <c r="I713">
        <v>859.59</v>
      </c>
      <c r="J713" s="2">
        <v>884.51</v>
      </c>
      <c r="K713" t="s">
        <v>30</v>
      </c>
      <c r="L713" s="4">
        <v>0.12</v>
      </c>
      <c r="M713" t="s">
        <v>27</v>
      </c>
      <c r="N713" t="s">
        <v>19</v>
      </c>
      <c r="O713" t="s">
        <v>46</v>
      </c>
    </row>
    <row r="714" spans="1:15" x14ac:dyDescent="0.25">
      <c r="A714" s="3">
        <v>1056</v>
      </c>
      <c r="B714" s="1">
        <v>44985</v>
      </c>
      <c r="C714" t="s">
        <v>38</v>
      </c>
      <c r="D714" t="s">
        <v>15</v>
      </c>
      <c r="E714" s="2">
        <f>Table1[[#This Row],[Quantity_Sold]] * Table1[[#This Row],[Unit_Price]] * (1 - (Table1[[#This Row],[Discount]] / 100))</f>
        <v>59472.471551999995</v>
      </c>
      <c r="F714" s="2">
        <f>Table1[[#This Row],[Quantity_Sold]] * ((Table1[[#This Row],[Unit_Price]] * (1 - (Table1[[#This Row],[Discount]] / 100))) - Table1[[#This Row],[Unit_Cost]])</f>
        <v>1922.3015519999976</v>
      </c>
      <c r="G714" s="3">
        <v>37</v>
      </c>
      <c r="H714" t="s">
        <v>35</v>
      </c>
      <c r="I714">
        <v>1555.41</v>
      </c>
      <c r="J714" s="2">
        <v>1609.94</v>
      </c>
      <c r="K714" t="s">
        <v>17</v>
      </c>
      <c r="L714" s="4">
        <v>0.16</v>
      </c>
      <c r="M714" t="s">
        <v>31</v>
      </c>
      <c r="N714" t="s">
        <v>19</v>
      </c>
      <c r="O714" t="s">
        <v>40</v>
      </c>
    </row>
    <row r="715" spans="1:15" x14ac:dyDescent="0.25">
      <c r="A715" s="3">
        <v>1033</v>
      </c>
      <c r="B715" s="1">
        <v>45230</v>
      </c>
      <c r="C715" t="s">
        <v>38</v>
      </c>
      <c r="D715" t="s">
        <v>34</v>
      </c>
      <c r="E715" s="2">
        <f>Table1[[#This Row],[Quantity_Sold]] * Table1[[#This Row],[Unit_Price]] * (1 - (Table1[[#This Row],[Discount]] / 100))</f>
        <v>63882.109368000005</v>
      </c>
      <c r="F715" s="2">
        <f>Table1[[#This Row],[Quantity_Sold]] * ((Table1[[#This Row],[Unit_Price]] * (1 - (Table1[[#This Row],[Discount]] / 100))) - Table1[[#This Row],[Unit_Cost]])</f>
        <v>7641.4693680000019</v>
      </c>
      <c r="G715" s="3">
        <v>18</v>
      </c>
      <c r="H715" t="s">
        <v>16</v>
      </c>
      <c r="I715">
        <v>3124.48</v>
      </c>
      <c r="J715" s="2">
        <v>3553.27</v>
      </c>
      <c r="K715" t="s">
        <v>17</v>
      </c>
      <c r="L715" s="4">
        <v>0.12</v>
      </c>
      <c r="M715" t="s">
        <v>18</v>
      </c>
      <c r="N715" t="s">
        <v>22</v>
      </c>
      <c r="O715" t="s">
        <v>48</v>
      </c>
    </row>
    <row r="716" spans="1:15" x14ac:dyDescent="0.25">
      <c r="A716" s="3">
        <v>1038</v>
      </c>
      <c r="B716" s="1">
        <v>45095</v>
      </c>
      <c r="C716" t="s">
        <v>38</v>
      </c>
      <c r="D716" t="s">
        <v>21</v>
      </c>
      <c r="E716" s="2">
        <f>Table1[[#This Row],[Quantity_Sold]] * Table1[[#This Row],[Unit_Price]] * (1 - (Table1[[#This Row],[Discount]] / 100))</f>
        <v>44668.881792</v>
      </c>
      <c r="F716" s="2">
        <f>Table1[[#This Row],[Quantity_Sold]] * ((Table1[[#This Row],[Unit_Price]] * (1 - (Table1[[#This Row],[Discount]] / 100))) - Table1[[#This Row],[Unit_Cost]])</f>
        <v>7615.041792</v>
      </c>
      <c r="G716" s="3">
        <v>24</v>
      </c>
      <c r="H716" t="s">
        <v>29</v>
      </c>
      <c r="I716">
        <v>1543.91</v>
      </c>
      <c r="J716" s="2">
        <v>1862.88</v>
      </c>
      <c r="K716" t="s">
        <v>30</v>
      </c>
      <c r="L716" s="4">
        <v>0.09</v>
      </c>
      <c r="M716" t="s">
        <v>27</v>
      </c>
      <c r="N716" t="s">
        <v>19</v>
      </c>
      <c r="O716" t="s">
        <v>41</v>
      </c>
    </row>
    <row r="717" spans="1:15" x14ac:dyDescent="0.25">
      <c r="A717" s="3">
        <v>1006</v>
      </c>
      <c r="B717" s="1">
        <v>45195</v>
      </c>
      <c r="C717" t="s">
        <v>14</v>
      </c>
      <c r="D717" t="s">
        <v>34</v>
      </c>
      <c r="E717" s="2">
        <f>Table1[[#This Row],[Quantity_Sold]] * Table1[[#This Row],[Unit_Price]] * (1 - (Table1[[#This Row],[Discount]] / 100))</f>
        <v>68154.356031999865</v>
      </c>
      <c r="F717" s="2">
        <f>Table1[[#This Row],[Quantity_Sold]] * ((Table1[[#This Row],[Unit_Price]] * (1 - (Table1[[#This Row],[Discount]] / 100))) - Table1[[#This Row],[Unit_Cost]])</f>
        <v>5102.1360319998766</v>
      </c>
      <c r="G717" s="3">
        <v>14</v>
      </c>
      <c r="H717" t="s">
        <v>26</v>
      </c>
      <c r="I717">
        <v>4503.7299999999996</v>
      </c>
      <c r="J717" s="2">
        <v>4879.8799999999901</v>
      </c>
      <c r="K717" t="s">
        <v>30</v>
      </c>
      <c r="L717" s="4">
        <v>0.24</v>
      </c>
      <c r="M717" t="s">
        <v>27</v>
      </c>
      <c r="N717" t="s">
        <v>22</v>
      </c>
      <c r="O717" t="s">
        <v>46</v>
      </c>
    </row>
    <row r="718" spans="1:15" x14ac:dyDescent="0.25">
      <c r="A718" s="3">
        <v>1058</v>
      </c>
      <c r="B718" s="1">
        <v>45289</v>
      </c>
      <c r="C718" t="s">
        <v>24</v>
      </c>
      <c r="D718" t="s">
        <v>15</v>
      </c>
      <c r="E718" s="2">
        <f>Table1[[#This Row],[Quantity_Sold]] * Table1[[#This Row],[Unit_Price]] * (1 - (Table1[[#This Row],[Discount]] / 100))</f>
        <v>111200.448416</v>
      </c>
      <c r="F718" s="2">
        <f>Table1[[#This Row],[Quantity_Sold]] * ((Table1[[#This Row],[Unit_Price]] * (1 - (Table1[[#This Row],[Discount]] / 100))) - Table1[[#This Row],[Unit_Cost]])</f>
        <v>3739.708415999994</v>
      </c>
      <c r="G718" s="3">
        <v>34</v>
      </c>
      <c r="H718" t="s">
        <v>35</v>
      </c>
      <c r="I718">
        <v>3160.61</v>
      </c>
      <c r="J718" s="2">
        <v>3273.22</v>
      </c>
      <c r="K718" t="s">
        <v>17</v>
      </c>
      <c r="L718" s="4">
        <v>0.08</v>
      </c>
      <c r="M718" t="s">
        <v>31</v>
      </c>
      <c r="N718" t="s">
        <v>22</v>
      </c>
      <c r="O718" t="s">
        <v>45</v>
      </c>
    </row>
    <row r="719" spans="1:15" x14ac:dyDescent="0.25">
      <c r="A719" s="3">
        <v>1044</v>
      </c>
      <c r="B719" s="1">
        <v>44971</v>
      </c>
      <c r="C719" t="s">
        <v>24</v>
      </c>
      <c r="D719" t="s">
        <v>21</v>
      </c>
      <c r="E719" s="2">
        <f>Table1[[#This Row],[Quantity_Sold]] * Table1[[#This Row],[Unit_Price]] * (1 - (Table1[[#This Row],[Discount]] / 100))</f>
        <v>29867.905728000002</v>
      </c>
      <c r="F719" s="2">
        <f>Table1[[#This Row],[Quantity_Sold]] * ((Table1[[#This Row],[Unit_Price]] * (1 - (Table1[[#This Row],[Discount]] / 100))) - Table1[[#This Row],[Unit_Cost]])</f>
        <v>3212.185728000004</v>
      </c>
      <c r="G719" s="3">
        <v>12</v>
      </c>
      <c r="H719" t="s">
        <v>35</v>
      </c>
      <c r="I719">
        <v>2221.31</v>
      </c>
      <c r="J719" s="2">
        <v>2494.48</v>
      </c>
      <c r="K719" t="s">
        <v>17</v>
      </c>
      <c r="L719" s="4">
        <v>0.22</v>
      </c>
      <c r="M719" t="s">
        <v>27</v>
      </c>
      <c r="N719" t="s">
        <v>19</v>
      </c>
      <c r="O719" t="s">
        <v>47</v>
      </c>
    </row>
    <row r="720" spans="1:15" x14ac:dyDescent="0.25">
      <c r="A720" s="3">
        <v>1045</v>
      </c>
      <c r="B720" s="1">
        <v>45271</v>
      </c>
      <c r="C720" t="s">
        <v>42</v>
      </c>
      <c r="D720" t="s">
        <v>21</v>
      </c>
      <c r="E720" s="2">
        <f>Table1[[#This Row],[Quantity_Sold]] * Table1[[#This Row],[Unit_Price]] * (1 - (Table1[[#This Row],[Discount]] / 100))</f>
        <v>13479.887212000001</v>
      </c>
      <c r="F720" s="2">
        <f>Table1[[#This Row],[Quantity_Sold]] * ((Table1[[#This Row],[Unit_Price]] * (1 - (Table1[[#This Row],[Discount]] / 100))) - Table1[[#This Row],[Unit_Cost]])</f>
        <v>8159.1872119999989</v>
      </c>
      <c r="G720" s="3">
        <v>22</v>
      </c>
      <c r="H720" t="s">
        <v>29</v>
      </c>
      <c r="I720">
        <v>241.85</v>
      </c>
      <c r="J720" s="2">
        <v>613.09</v>
      </c>
      <c r="K720" t="s">
        <v>17</v>
      </c>
      <c r="L720" s="4">
        <v>0.06</v>
      </c>
      <c r="M720" t="s">
        <v>18</v>
      </c>
      <c r="N720" t="s">
        <v>19</v>
      </c>
      <c r="O720" t="s">
        <v>51</v>
      </c>
    </row>
    <row r="721" spans="1:15" x14ac:dyDescent="0.25">
      <c r="A721" s="3">
        <v>1032</v>
      </c>
      <c r="B721" s="1">
        <v>45107</v>
      </c>
      <c r="C721" t="s">
        <v>38</v>
      </c>
      <c r="D721" t="s">
        <v>15</v>
      </c>
      <c r="E721" s="2">
        <f>Table1[[#This Row],[Quantity_Sold]] * Table1[[#This Row],[Unit_Price]] * (1 - (Table1[[#This Row],[Discount]] / 100))</f>
        <v>17028.911412000001</v>
      </c>
      <c r="F721" s="2">
        <f>Table1[[#This Row],[Quantity_Sold]] * ((Table1[[#This Row],[Unit_Price]] * (1 - (Table1[[#This Row],[Discount]] / 100))) - Table1[[#This Row],[Unit_Cost]])</f>
        <v>1892.3514119999963</v>
      </c>
      <c r="G721" s="3">
        <v>6</v>
      </c>
      <c r="H721" t="s">
        <v>29</v>
      </c>
      <c r="I721">
        <v>2522.7600000000002</v>
      </c>
      <c r="J721" s="2">
        <v>2840.14</v>
      </c>
      <c r="K721" t="s">
        <v>17</v>
      </c>
      <c r="L721" s="4">
        <v>7.0000000000000007E-2</v>
      </c>
      <c r="M721" t="s">
        <v>31</v>
      </c>
      <c r="N721" t="s">
        <v>22</v>
      </c>
      <c r="O721" t="s">
        <v>40</v>
      </c>
    </row>
    <row r="722" spans="1:15" x14ac:dyDescent="0.25">
      <c r="A722" s="3">
        <v>1045</v>
      </c>
      <c r="B722" s="1">
        <v>45096</v>
      </c>
      <c r="C722" t="s">
        <v>24</v>
      </c>
      <c r="D722" t="s">
        <v>15</v>
      </c>
      <c r="E722" s="2">
        <f>Table1[[#This Row],[Quantity_Sold]] * Table1[[#This Row],[Unit_Price]] * (1 - (Table1[[#This Row],[Discount]] / 100))</f>
        <v>146616.95628000001</v>
      </c>
      <c r="F722" s="2">
        <f>Table1[[#This Row],[Quantity_Sold]] * ((Table1[[#This Row],[Unit_Price]] * (1 - (Table1[[#This Row],[Discount]] / 100))) - Table1[[#This Row],[Unit_Cost]])</f>
        <v>8533.9162799999995</v>
      </c>
      <c r="G722" s="3">
        <v>36</v>
      </c>
      <c r="H722" t="s">
        <v>35</v>
      </c>
      <c r="I722">
        <v>3835.64</v>
      </c>
      <c r="J722" s="2">
        <v>4076.77</v>
      </c>
      <c r="K722" t="s">
        <v>17</v>
      </c>
      <c r="L722" s="4">
        <v>0.1</v>
      </c>
      <c r="M722" t="s">
        <v>31</v>
      </c>
      <c r="N722" t="s">
        <v>22</v>
      </c>
      <c r="O722" t="s">
        <v>45</v>
      </c>
    </row>
    <row r="723" spans="1:15" x14ac:dyDescent="0.25">
      <c r="A723" s="3">
        <v>1061</v>
      </c>
      <c r="B723" s="1">
        <v>45282</v>
      </c>
      <c r="C723" t="s">
        <v>42</v>
      </c>
      <c r="D723" t="s">
        <v>15</v>
      </c>
      <c r="E723" s="2">
        <f>Table1[[#This Row],[Quantity_Sold]] * Table1[[#This Row],[Unit_Price]] * (1 - (Table1[[#This Row],[Discount]] / 100))</f>
        <v>82866.571199999991</v>
      </c>
      <c r="F723" s="2">
        <f>Table1[[#This Row],[Quantity_Sold]] * ((Table1[[#This Row],[Unit_Price]] * (1 - (Table1[[#This Row],[Discount]] / 100))) - Table1[[#This Row],[Unit_Cost]])</f>
        <v>21463.62119999999</v>
      </c>
      <c r="G723" s="3">
        <v>45</v>
      </c>
      <c r="H723" t="s">
        <v>29</v>
      </c>
      <c r="I723">
        <v>1364.51</v>
      </c>
      <c r="J723" s="2">
        <v>1844.8</v>
      </c>
      <c r="K723" t="s">
        <v>17</v>
      </c>
      <c r="L723" s="4">
        <v>0.18</v>
      </c>
      <c r="M723" t="s">
        <v>18</v>
      </c>
      <c r="N723" t="s">
        <v>19</v>
      </c>
      <c r="O723" t="s">
        <v>49</v>
      </c>
    </row>
    <row r="724" spans="1:15" x14ac:dyDescent="0.25">
      <c r="A724" s="3">
        <v>1047</v>
      </c>
      <c r="B724" s="1">
        <v>45117</v>
      </c>
      <c r="C724" t="s">
        <v>24</v>
      </c>
      <c r="D724" t="s">
        <v>15</v>
      </c>
      <c r="E724" s="2">
        <f>Table1[[#This Row],[Quantity_Sold]] * Table1[[#This Row],[Unit_Price]] * (1 - (Table1[[#This Row],[Discount]] / 100))</f>
        <v>157633.60356000002</v>
      </c>
      <c r="F724" s="2">
        <f>Table1[[#This Row],[Quantity_Sold]] * ((Table1[[#This Row],[Unit_Price]] * (1 - (Table1[[#This Row],[Discount]] / 100))) - Table1[[#This Row],[Unit_Cost]])</f>
        <v>12066.523560000007</v>
      </c>
      <c r="G724" s="3">
        <v>36</v>
      </c>
      <c r="H724" t="s">
        <v>26</v>
      </c>
      <c r="I724">
        <v>4043.53</v>
      </c>
      <c r="J724" s="2">
        <v>4384.8500000000004</v>
      </c>
      <c r="K724" t="s">
        <v>30</v>
      </c>
      <c r="L724" s="4">
        <v>0.14000000000000001</v>
      </c>
      <c r="M724" t="s">
        <v>18</v>
      </c>
      <c r="N724" t="s">
        <v>19</v>
      </c>
      <c r="O724" t="s">
        <v>45</v>
      </c>
    </row>
    <row r="725" spans="1:15" x14ac:dyDescent="0.25">
      <c r="A725" s="3">
        <v>1021</v>
      </c>
      <c r="B725" s="1">
        <v>45081</v>
      </c>
      <c r="C725" t="s">
        <v>38</v>
      </c>
      <c r="D725" t="s">
        <v>15</v>
      </c>
      <c r="E725" s="2">
        <f>Table1[[#This Row],[Quantity_Sold]] * Table1[[#This Row],[Unit_Price]] * (1 - (Table1[[#This Row],[Discount]] / 100))</f>
        <v>38442.519983999999</v>
      </c>
      <c r="F725" s="2">
        <f>Table1[[#This Row],[Quantity_Sold]] * ((Table1[[#This Row],[Unit_Price]] * (1 - (Table1[[#This Row],[Discount]] / 100))) - Table1[[#This Row],[Unit_Cost]])</f>
        <v>9920.8399839999984</v>
      </c>
      <c r="G725" s="3">
        <v>22</v>
      </c>
      <c r="H725" t="s">
        <v>35</v>
      </c>
      <c r="I725">
        <v>1296.44</v>
      </c>
      <c r="J725" s="2">
        <v>1751.24</v>
      </c>
      <c r="K725" t="s">
        <v>30</v>
      </c>
      <c r="L725" s="4">
        <v>0.22</v>
      </c>
      <c r="M725" t="s">
        <v>18</v>
      </c>
      <c r="N725" t="s">
        <v>19</v>
      </c>
      <c r="O725" t="s">
        <v>40</v>
      </c>
    </row>
    <row r="726" spans="1:15" x14ac:dyDescent="0.25">
      <c r="A726" s="3">
        <v>1080</v>
      </c>
      <c r="B726" s="1">
        <v>45114</v>
      </c>
      <c r="C726" t="s">
        <v>33</v>
      </c>
      <c r="D726" t="s">
        <v>21</v>
      </c>
      <c r="E726" s="2">
        <f>Table1[[#This Row],[Quantity_Sold]] * Table1[[#This Row],[Unit_Price]] * (1 - (Table1[[#This Row],[Discount]] / 100))</f>
        <v>62894.060907999999</v>
      </c>
      <c r="F726" s="2">
        <f>Table1[[#This Row],[Quantity_Sold]] * ((Table1[[#This Row],[Unit_Price]] * (1 - (Table1[[#This Row],[Discount]] / 100))) - Table1[[#This Row],[Unit_Cost]])</f>
        <v>5108.500908</v>
      </c>
      <c r="G726" s="3">
        <v>14</v>
      </c>
      <c r="H726" t="s">
        <v>26</v>
      </c>
      <c r="I726">
        <v>4127.54</v>
      </c>
      <c r="J726" s="2">
        <v>4495.13</v>
      </c>
      <c r="K726" t="s">
        <v>30</v>
      </c>
      <c r="L726" s="4">
        <v>0.06</v>
      </c>
      <c r="M726" t="s">
        <v>27</v>
      </c>
      <c r="N726" t="s">
        <v>22</v>
      </c>
      <c r="O726" t="s">
        <v>37</v>
      </c>
    </row>
    <row r="727" spans="1:15" x14ac:dyDescent="0.25">
      <c r="A727" s="3">
        <v>1085</v>
      </c>
      <c r="B727" s="1">
        <v>44933</v>
      </c>
      <c r="C727" t="s">
        <v>38</v>
      </c>
      <c r="D727" t="s">
        <v>21</v>
      </c>
      <c r="E727" s="2">
        <f>Table1[[#This Row],[Quantity_Sold]] * Table1[[#This Row],[Unit_Price]] * (1 - (Table1[[#This Row],[Discount]] / 100))</f>
        <v>13479.36</v>
      </c>
      <c r="F727" s="2">
        <f>Table1[[#This Row],[Quantity_Sold]] * ((Table1[[#This Row],[Unit_Price]] * (1 - (Table1[[#This Row],[Discount]] / 100))) - Table1[[#This Row],[Unit_Cost]])</f>
        <v>5926.0800000000008</v>
      </c>
      <c r="G727" s="3">
        <v>16</v>
      </c>
      <c r="H727" t="s">
        <v>26</v>
      </c>
      <c r="I727">
        <v>472.08</v>
      </c>
      <c r="J727" s="2">
        <v>842.46</v>
      </c>
      <c r="K727" t="s">
        <v>30</v>
      </c>
      <c r="L727" s="4">
        <v>0</v>
      </c>
      <c r="M727" t="s">
        <v>18</v>
      </c>
      <c r="N727" t="s">
        <v>22</v>
      </c>
      <c r="O727" t="s">
        <v>41</v>
      </c>
    </row>
    <row r="728" spans="1:15" x14ac:dyDescent="0.25">
      <c r="A728" s="3">
        <v>1075</v>
      </c>
      <c r="B728" s="1">
        <v>45059</v>
      </c>
      <c r="C728" t="s">
        <v>14</v>
      </c>
      <c r="D728" t="s">
        <v>34</v>
      </c>
      <c r="E728" s="2">
        <f>Table1[[#This Row],[Quantity_Sold]] * Table1[[#This Row],[Unit_Price]] * (1 - (Table1[[#This Row],[Discount]] / 100))</f>
        <v>157562.29130399998</v>
      </c>
      <c r="F728" s="2">
        <f>Table1[[#This Row],[Quantity_Sold]] * ((Table1[[#This Row],[Unit_Price]] * (1 - (Table1[[#This Row],[Discount]] / 100))) - Table1[[#This Row],[Unit_Cost]])</f>
        <v>1408.3313039999921</v>
      </c>
      <c r="G728" s="3">
        <v>36</v>
      </c>
      <c r="H728" t="s">
        <v>29</v>
      </c>
      <c r="I728">
        <v>4337.6099999999997</v>
      </c>
      <c r="J728" s="2">
        <v>4386.82</v>
      </c>
      <c r="K728" t="s">
        <v>17</v>
      </c>
      <c r="L728" s="4">
        <v>0.23</v>
      </c>
      <c r="M728" t="s">
        <v>31</v>
      </c>
      <c r="N728" t="s">
        <v>19</v>
      </c>
      <c r="O728" t="s">
        <v>46</v>
      </c>
    </row>
    <row r="729" spans="1:15" x14ac:dyDescent="0.25">
      <c r="A729" s="3">
        <v>1036</v>
      </c>
      <c r="B729" s="1">
        <v>45161</v>
      </c>
      <c r="C729" t="s">
        <v>24</v>
      </c>
      <c r="D729" t="s">
        <v>34</v>
      </c>
      <c r="E729" s="2">
        <f>Table1[[#This Row],[Quantity_Sold]] * Table1[[#This Row],[Unit_Price]] * (1 - (Table1[[#This Row],[Discount]] / 100))</f>
        <v>67508.555624999761</v>
      </c>
      <c r="F729" s="2">
        <f>Table1[[#This Row],[Quantity_Sold]] * ((Table1[[#This Row],[Unit_Price]] * (1 - (Table1[[#This Row],[Discount]] / 100))) - Table1[[#This Row],[Unit_Cost]])</f>
        <v>4484.3056249997626</v>
      </c>
      <c r="G729" s="3">
        <v>25</v>
      </c>
      <c r="H729" t="s">
        <v>26</v>
      </c>
      <c r="I729">
        <v>2520.9699999999998</v>
      </c>
      <c r="J729" s="2">
        <v>2707.1099999999901</v>
      </c>
      <c r="K729" t="s">
        <v>30</v>
      </c>
      <c r="L729" s="4">
        <v>0.25</v>
      </c>
      <c r="M729" t="s">
        <v>18</v>
      </c>
      <c r="N729" t="s">
        <v>22</v>
      </c>
      <c r="O729" t="s">
        <v>50</v>
      </c>
    </row>
    <row r="730" spans="1:15" x14ac:dyDescent="0.25">
      <c r="A730" s="3">
        <v>1099</v>
      </c>
      <c r="B730" s="1">
        <v>44971</v>
      </c>
      <c r="C730" t="s">
        <v>24</v>
      </c>
      <c r="D730" t="s">
        <v>25</v>
      </c>
      <c r="E730" s="2">
        <f>Table1[[#This Row],[Quantity_Sold]] * Table1[[#This Row],[Unit_Price]] * (1 - (Table1[[#This Row],[Discount]] / 100))</f>
        <v>62338.249856000002</v>
      </c>
      <c r="F730" s="2">
        <f>Table1[[#This Row],[Quantity_Sold]] * ((Table1[[#This Row],[Unit_Price]] * (1 - (Table1[[#This Row],[Discount]] / 100))) - Table1[[#This Row],[Unit_Cost]])</f>
        <v>13766.729856000005</v>
      </c>
      <c r="G730" s="3">
        <v>32</v>
      </c>
      <c r="H730" t="s">
        <v>29</v>
      </c>
      <c r="I730">
        <v>1517.86</v>
      </c>
      <c r="J730" s="2">
        <v>1948.46</v>
      </c>
      <c r="K730" t="s">
        <v>30</v>
      </c>
      <c r="L730" s="4">
        <v>0.02</v>
      </c>
      <c r="M730" t="s">
        <v>31</v>
      </c>
      <c r="N730" t="s">
        <v>19</v>
      </c>
      <c r="O730" t="s">
        <v>28</v>
      </c>
    </row>
    <row r="731" spans="1:15" x14ac:dyDescent="0.25">
      <c r="A731" s="3">
        <v>1019</v>
      </c>
      <c r="B731" s="1">
        <v>45240</v>
      </c>
      <c r="C731" t="s">
        <v>14</v>
      </c>
      <c r="D731" t="s">
        <v>34</v>
      </c>
      <c r="E731" s="2">
        <f>Table1[[#This Row],[Quantity_Sold]] * Table1[[#This Row],[Unit_Price]] * (1 - (Table1[[#This Row],[Discount]] / 100))</f>
        <v>48959.284373999995</v>
      </c>
      <c r="F731" s="2">
        <f>Table1[[#This Row],[Quantity_Sold]] * ((Table1[[#This Row],[Unit_Price]] * (1 - (Table1[[#This Row],[Discount]] / 100))) - Table1[[#This Row],[Unit_Cost]])</f>
        <v>4003.0543739999989</v>
      </c>
      <c r="G731" s="3">
        <v>33</v>
      </c>
      <c r="H731" t="s">
        <v>16</v>
      </c>
      <c r="I731">
        <v>1362.31</v>
      </c>
      <c r="J731" s="2">
        <v>1486.29</v>
      </c>
      <c r="K731" t="s">
        <v>17</v>
      </c>
      <c r="L731" s="4">
        <v>0.18</v>
      </c>
      <c r="M731" t="s">
        <v>31</v>
      </c>
      <c r="N731" t="s">
        <v>22</v>
      </c>
      <c r="O731" t="s">
        <v>46</v>
      </c>
    </row>
    <row r="732" spans="1:15" x14ac:dyDescent="0.25">
      <c r="A732" s="3">
        <v>1020</v>
      </c>
      <c r="B732" s="1">
        <v>45175</v>
      </c>
      <c r="C732" t="s">
        <v>14</v>
      </c>
      <c r="D732" t="s">
        <v>34</v>
      </c>
      <c r="E732" s="2">
        <f>Table1[[#This Row],[Quantity_Sold]] * Table1[[#This Row],[Unit_Price]] * (1 - (Table1[[#This Row],[Discount]] / 100))</f>
        <v>101365.62502499956</v>
      </c>
      <c r="F732" s="2">
        <f>Table1[[#This Row],[Quantity_Sold]] * ((Table1[[#This Row],[Unit_Price]] * (1 - (Table1[[#This Row],[Discount]] / 100))) - Table1[[#This Row],[Unit_Cost]])</f>
        <v>2885.3750249995619</v>
      </c>
      <c r="G732" s="3">
        <v>45</v>
      </c>
      <c r="H732" t="s">
        <v>29</v>
      </c>
      <c r="I732">
        <v>2188.4499999999998</v>
      </c>
      <c r="J732" s="2">
        <v>2255.0499999999902</v>
      </c>
      <c r="K732" t="s">
        <v>30</v>
      </c>
      <c r="L732" s="4">
        <v>0.11</v>
      </c>
      <c r="M732" t="s">
        <v>27</v>
      </c>
      <c r="N732" t="s">
        <v>22</v>
      </c>
      <c r="O732" t="s">
        <v>46</v>
      </c>
    </row>
    <row r="733" spans="1:15" x14ac:dyDescent="0.25">
      <c r="A733" s="3">
        <v>1057</v>
      </c>
      <c r="B733" s="1">
        <v>44957</v>
      </c>
      <c r="C733" t="s">
        <v>33</v>
      </c>
      <c r="D733" t="s">
        <v>15</v>
      </c>
      <c r="E733" s="2">
        <f>Table1[[#This Row],[Quantity_Sold]] * Table1[[#This Row],[Unit_Price]] * (1 - (Table1[[#This Row],[Discount]] / 100))</f>
        <v>185496.97622400001</v>
      </c>
      <c r="F733" s="2">
        <f>Table1[[#This Row],[Quantity_Sold]] * ((Table1[[#This Row],[Unit_Price]] * (1 - (Table1[[#This Row],[Discount]] / 100))) - Table1[[#This Row],[Unit_Cost]])</f>
        <v>5666.1762239999953</v>
      </c>
      <c r="G733" s="3">
        <v>36</v>
      </c>
      <c r="H733" t="s">
        <v>26</v>
      </c>
      <c r="I733">
        <v>4995.3</v>
      </c>
      <c r="J733" s="2">
        <v>5165.09</v>
      </c>
      <c r="K733" t="s">
        <v>17</v>
      </c>
      <c r="L733" s="4">
        <v>0.24</v>
      </c>
      <c r="M733" t="s">
        <v>18</v>
      </c>
      <c r="N733" t="s">
        <v>19</v>
      </c>
      <c r="O733" t="s">
        <v>53</v>
      </c>
    </row>
    <row r="734" spans="1:15" x14ac:dyDescent="0.25">
      <c r="A734" s="3">
        <v>1018</v>
      </c>
      <c r="B734" s="1">
        <v>44949</v>
      </c>
      <c r="C734" t="s">
        <v>24</v>
      </c>
      <c r="D734" t="s">
        <v>15</v>
      </c>
      <c r="E734" s="2">
        <f>Table1[[#This Row],[Quantity_Sold]] * Table1[[#This Row],[Unit_Price]] * (1 - (Table1[[#This Row],[Discount]] / 100))</f>
        <v>25107.151239999803</v>
      </c>
      <c r="F734" s="2">
        <f>Table1[[#This Row],[Quantity_Sold]] * ((Table1[[#This Row],[Unit_Price]] * (1 - (Table1[[#This Row],[Discount]] / 100))) - Table1[[#This Row],[Unit_Cost]])</f>
        <v>2294.751239999805</v>
      </c>
      <c r="G734" s="3">
        <v>20</v>
      </c>
      <c r="H734" t="s">
        <v>16</v>
      </c>
      <c r="I734">
        <v>1140.6199999999999</v>
      </c>
      <c r="J734" s="2">
        <v>1258.6299999999901</v>
      </c>
      <c r="K734" t="s">
        <v>17</v>
      </c>
      <c r="L734" s="4">
        <v>0.26</v>
      </c>
      <c r="M734" t="s">
        <v>27</v>
      </c>
      <c r="N734" t="s">
        <v>19</v>
      </c>
      <c r="O734" t="s">
        <v>45</v>
      </c>
    </row>
    <row r="735" spans="1:15" x14ac:dyDescent="0.25">
      <c r="A735" s="3">
        <v>1047</v>
      </c>
      <c r="B735" s="1">
        <v>45086</v>
      </c>
      <c r="C735" t="s">
        <v>24</v>
      </c>
      <c r="D735" t="s">
        <v>34</v>
      </c>
      <c r="E735" s="2">
        <f>Table1[[#This Row],[Quantity_Sold]] * Table1[[#This Row],[Unit_Price]] * (1 - (Table1[[#This Row],[Discount]] / 100))</f>
        <v>18389.642291999997</v>
      </c>
      <c r="F735" s="2">
        <f>Table1[[#This Row],[Quantity_Sold]] * ((Table1[[#This Row],[Unit_Price]] * (1 - (Table1[[#This Row],[Discount]] / 100))) - Table1[[#This Row],[Unit_Cost]])</f>
        <v>8293.0822919999991</v>
      </c>
      <c r="G735" s="3">
        <v>18</v>
      </c>
      <c r="H735" t="s">
        <v>29</v>
      </c>
      <c r="I735">
        <v>560.91999999999996</v>
      </c>
      <c r="J735" s="2">
        <v>1024.31</v>
      </c>
      <c r="K735" t="s">
        <v>17</v>
      </c>
      <c r="L735" s="4">
        <v>0.26</v>
      </c>
      <c r="M735" t="s">
        <v>18</v>
      </c>
      <c r="N735" t="s">
        <v>19</v>
      </c>
      <c r="O735" t="s">
        <v>50</v>
      </c>
    </row>
    <row r="736" spans="1:15" x14ac:dyDescent="0.25">
      <c r="A736" s="3">
        <v>1049</v>
      </c>
      <c r="B736" s="1">
        <v>45289</v>
      </c>
      <c r="C736" t="s">
        <v>33</v>
      </c>
      <c r="D736" t="s">
        <v>25</v>
      </c>
      <c r="E736" s="2">
        <f>Table1[[#This Row],[Quantity_Sold]] * Table1[[#This Row],[Unit_Price]] * (1 - (Table1[[#This Row],[Discount]] / 100))</f>
        <v>128190.841372</v>
      </c>
      <c r="F736" s="2">
        <f>Table1[[#This Row],[Quantity_Sold]] * ((Table1[[#This Row],[Unit_Price]] * (1 - (Table1[[#This Row],[Discount]] / 100))) - Table1[[#This Row],[Unit_Cost]])</f>
        <v>16245.881371999996</v>
      </c>
      <c r="G736" s="3">
        <v>38</v>
      </c>
      <c r="H736" t="s">
        <v>26</v>
      </c>
      <c r="I736">
        <v>2945.92</v>
      </c>
      <c r="J736" s="2">
        <v>3381.22</v>
      </c>
      <c r="K736" t="s">
        <v>17</v>
      </c>
      <c r="L736" s="4">
        <v>0.23</v>
      </c>
      <c r="M736" t="s">
        <v>18</v>
      </c>
      <c r="N736" t="s">
        <v>22</v>
      </c>
      <c r="O736" t="s">
        <v>44</v>
      </c>
    </row>
    <row r="737" spans="1:15" x14ac:dyDescent="0.25">
      <c r="A737" s="3">
        <v>1014</v>
      </c>
      <c r="B737" s="1">
        <v>45084</v>
      </c>
      <c r="C737" t="s">
        <v>42</v>
      </c>
      <c r="D737" t="s">
        <v>15</v>
      </c>
      <c r="E737" s="2">
        <f>Table1[[#This Row],[Quantity_Sold]] * Table1[[#This Row],[Unit_Price]] * (1 - (Table1[[#This Row],[Discount]] / 100))</f>
        <v>8162.8544879999999</v>
      </c>
      <c r="F737" s="2">
        <f>Table1[[#This Row],[Quantity_Sold]] * ((Table1[[#This Row],[Unit_Price]] * (1 - (Table1[[#This Row],[Discount]] / 100))) - Table1[[#This Row],[Unit_Cost]])</f>
        <v>757.98448800000051</v>
      </c>
      <c r="G737" s="3">
        <v>3</v>
      </c>
      <c r="H737" t="s">
        <v>35</v>
      </c>
      <c r="I737">
        <v>2468.29</v>
      </c>
      <c r="J737" s="2">
        <v>2723.13</v>
      </c>
      <c r="K737" t="s">
        <v>17</v>
      </c>
      <c r="L737" s="4">
        <v>0.08</v>
      </c>
      <c r="M737" t="s">
        <v>18</v>
      </c>
      <c r="N737" t="s">
        <v>22</v>
      </c>
      <c r="O737" t="s">
        <v>49</v>
      </c>
    </row>
    <row r="738" spans="1:15" x14ac:dyDescent="0.25">
      <c r="A738" s="3">
        <v>1015</v>
      </c>
      <c r="B738" s="1">
        <v>44965</v>
      </c>
      <c r="C738" t="s">
        <v>33</v>
      </c>
      <c r="D738" t="s">
        <v>34</v>
      </c>
      <c r="E738" s="2">
        <f>Table1[[#This Row],[Quantity_Sold]] * Table1[[#This Row],[Unit_Price]] * (1 - (Table1[[#This Row],[Discount]] / 100))</f>
        <v>61602.887384000001</v>
      </c>
      <c r="F738" s="2">
        <f>Table1[[#This Row],[Quantity_Sold]] * ((Table1[[#This Row],[Unit_Price]] * (1 - (Table1[[#This Row],[Discount]] / 100))) - Table1[[#This Row],[Unit_Cost]])</f>
        <v>773.17738399999689</v>
      </c>
      <c r="G738" s="3">
        <v>23</v>
      </c>
      <c r="H738" t="s">
        <v>35</v>
      </c>
      <c r="I738">
        <v>2644.77</v>
      </c>
      <c r="J738" s="2">
        <v>2684.83</v>
      </c>
      <c r="K738" t="s">
        <v>30</v>
      </c>
      <c r="L738" s="4">
        <v>0.24</v>
      </c>
      <c r="M738" t="s">
        <v>18</v>
      </c>
      <c r="N738" t="s">
        <v>19</v>
      </c>
      <c r="O738" t="s">
        <v>36</v>
      </c>
    </row>
    <row r="739" spans="1:15" x14ac:dyDescent="0.25">
      <c r="A739" s="3">
        <v>1031</v>
      </c>
      <c r="B739" s="1">
        <v>45008</v>
      </c>
      <c r="C739" t="s">
        <v>38</v>
      </c>
      <c r="D739" t="s">
        <v>34</v>
      </c>
      <c r="E739" s="2">
        <f>Table1[[#This Row],[Quantity_Sold]] * Table1[[#This Row],[Unit_Price]] * (1 - (Table1[[#This Row],[Discount]] / 100))</f>
        <v>118577.01273599999</v>
      </c>
      <c r="F739" s="2">
        <f>Table1[[#This Row],[Quantity_Sold]] * ((Table1[[#This Row],[Unit_Price]] * (1 - (Table1[[#This Row],[Discount]] / 100))) - Table1[[#This Row],[Unit_Cost]])</f>
        <v>11334.452735999992</v>
      </c>
      <c r="G739" s="3">
        <v>32</v>
      </c>
      <c r="H739" t="s">
        <v>29</v>
      </c>
      <c r="I739">
        <v>3351.33</v>
      </c>
      <c r="J739" s="2">
        <v>3711.47</v>
      </c>
      <c r="K739" t="s">
        <v>30</v>
      </c>
      <c r="L739" s="4">
        <v>0.16</v>
      </c>
      <c r="M739" t="s">
        <v>18</v>
      </c>
      <c r="N739" t="s">
        <v>22</v>
      </c>
      <c r="O739" t="s">
        <v>48</v>
      </c>
    </row>
    <row r="740" spans="1:15" x14ac:dyDescent="0.25">
      <c r="A740" s="3">
        <v>1001</v>
      </c>
      <c r="B740" s="1">
        <v>45282</v>
      </c>
      <c r="C740" t="s">
        <v>24</v>
      </c>
      <c r="D740" t="s">
        <v>21</v>
      </c>
      <c r="E740" s="2">
        <f>Table1[[#This Row],[Quantity_Sold]] * Table1[[#This Row],[Unit_Price]] * (1 - (Table1[[#This Row],[Discount]] / 100))</f>
        <v>75937.15952999999</v>
      </c>
      <c r="F740" s="2">
        <f>Table1[[#This Row],[Quantity_Sold]] * ((Table1[[#This Row],[Unit_Price]] * (1 - (Table1[[#This Row],[Discount]] / 100))) - Table1[[#This Row],[Unit_Cost]])</f>
        <v>14180.959530000004</v>
      </c>
      <c r="G740" s="3">
        <v>45</v>
      </c>
      <c r="H740" t="s">
        <v>29</v>
      </c>
      <c r="I740">
        <v>1372.36</v>
      </c>
      <c r="J740" s="2">
        <v>1687.83</v>
      </c>
      <c r="K740" t="s">
        <v>30</v>
      </c>
      <c r="L740" s="4">
        <v>0.02</v>
      </c>
      <c r="M740" t="s">
        <v>31</v>
      </c>
      <c r="N740" t="s">
        <v>19</v>
      </c>
      <c r="O740" t="s">
        <v>47</v>
      </c>
    </row>
    <row r="741" spans="1:15" x14ac:dyDescent="0.25">
      <c r="A741" s="3">
        <v>1054</v>
      </c>
      <c r="B741" s="1">
        <v>45184</v>
      </c>
      <c r="C741" t="s">
        <v>14</v>
      </c>
      <c r="D741" t="s">
        <v>25</v>
      </c>
      <c r="E741" s="2">
        <f>Table1[[#This Row],[Quantity_Sold]] * Table1[[#This Row],[Unit_Price]] * (1 - (Table1[[#This Row],[Discount]] / 100))</f>
        <v>80580.788736000002</v>
      </c>
      <c r="F741" s="2">
        <f>Table1[[#This Row],[Quantity_Sold]] * ((Table1[[#This Row],[Unit_Price]] * (1 - (Table1[[#This Row],[Discount]] / 100))) - Table1[[#This Row],[Unit_Cost]])</f>
        <v>7656.1487360000028</v>
      </c>
      <c r="G741" s="3">
        <v>16</v>
      </c>
      <c r="H741" t="s">
        <v>35</v>
      </c>
      <c r="I741">
        <v>4557.79</v>
      </c>
      <c r="J741" s="2">
        <v>5043.3599999999997</v>
      </c>
      <c r="K741" t="s">
        <v>17</v>
      </c>
      <c r="L741" s="4">
        <v>0.14000000000000001</v>
      </c>
      <c r="M741" t="s">
        <v>31</v>
      </c>
      <c r="N741" t="s">
        <v>22</v>
      </c>
      <c r="O741" t="s">
        <v>32</v>
      </c>
    </row>
    <row r="742" spans="1:15" x14ac:dyDescent="0.25">
      <c r="A742" s="3">
        <v>1003</v>
      </c>
      <c r="B742" s="1">
        <v>45132</v>
      </c>
      <c r="C742" t="s">
        <v>38</v>
      </c>
      <c r="D742" t="s">
        <v>21</v>
      </c>
      <c r="E742" s="2">
        <f>Table1[[#This Row],[Quantity_Sold]] * Table1[[#This Row],[Unit_Price]] * (1 - (Table1[[#This Row],[Discount]] / 100))</f>
        <v>12417.483419999999</v>
      </c>
      <c r="F742" s="2">
        <f>Table1[[#This Row],[Quantity_Sold]] * ((Table1[[#This Row],[Unit_Price]] * (1 - (Table1[[#This Row],[Discount]] / 100))) - Table1[[#This Row],[Unit_Cost]])</f>
        <v>1384.583419999999</v>
      </c>
      <c r="G742" s="3">
        <v>5</v>
      </c>
      <c r="H742" t="s">
        <v>26</v>
      </c>
      <c r="I742">
        <v>2206.58</v>
      </c>
      <c r="J742" s="2">
        <v>2490.4699999999998</v>
      </c>
      <c r="K742" t="s">
        <v>30</v>
      </c>
      <c r="L742" s="4">
        <v>0.28000000000000003</v>
      </c>
      <c r="M742" t="s">
        <v>18</v>
      </c>
      <c r="N742" t="s">
        <v>19</v>
      </c>
      <c r="O742" t="s">
        <v>41</v>
      </c>
    </row>
    <row r="743" spans="1:15" x14ac:dyDescent="0.25">
      <c r="A743" s="3">
        <v>1016</v>
      </c>
      <c r="B743" s="1">
        <v>45003</v>
      </c>
      <c r="C743" t="s">
        <v>24</v>
      </c>
      <c r="D743" t="s">
        <v>25</v>
      </c>
      <c r="E743" s="2">
        <f>Table1[[#This Row],[Quantity_Sold]] * Table1[[#This Row],[Unit_Price]] * (1 - (Table1[[#This Row],[Discount]] / 100))</f>
        <v>3445.9108519999995</v>
      </c>
      <c r="F743" s="2">
        <f>Table1[[#This Row],[Quantity_Sold]] * ((Table1[[#This Row],[Unit_Price]] * (1 - (Table1[[#This Row],[Discount]] / 100))) - Table1[[#This Row],[Unit_Cost]])</f>
        <v>689.99085199999945</v>
      </c>
      <c r="G743" s="3">
        <v>4</v>
      </c>
      <c r="H743" t="s">
        <v>26</v>
      </c>
      <c r="I743">
        <v>688.98</v>
      </c>
      <c r="J743" s="2">
        <v>863.81</v>
      </c>
      <c r="K743" t="s">
        <v>30</v>
      </c>
      <c r="L743" s="4">
        <v>0.27</v>
      </c>
      <c r="M743" t="s">
        <v>31</v>
      </c>
      <c r="N743" t="s">
        <v>22</v>
      </c>
      <c r="O743" t="s">
        <v>28</v>
      </c>
    </row>
    <row r="744" spans="1:15" x14ac:dyDescent="0.25">
      <c r="A744" s="3">
        <v>1087</v>
      </c>
      <c r="B744" s="1">
        <v>44938</v>
      </c>
      <c r="C744" t="s">
        <v>33</v>
      </c>
      <c r="D744" t="s">
        <v>15</v>
      </c>
      <c r="E744" s="2">
        <f>Table1[[#This Row],[Quantity_Sold]] * Table1[[#This Row],[Unit_Price]] * (1 - (Table1[[#This Row],[Discount]] / 100))</f>
        <v>83737.571190000002</v>
      </c>
      <c r="F744" s="2">
        <f>Table1[[#This Row],[Quantity_Sold]] * ((Table1[[#This Row],[Unit_Price]] * (1 - (Table1[[#This Row],[Discount]] / 100))) - Table1[[#This Row],[Unit_Cost]])</f>
        <v>5525.5911899999946</v>
      </c>
      <c r="G744" s="3">
        <v>21</v>
      </c>
      <c r="H744" t="s">
        <v>26</v>
      </c>
      <c r="I744">
        <v>3724.38</v>
      </c>
      <c r="J744" s="2">
        <v>3988.7</v>
      </c>
      <c r="K744" t="s">
        <v>30</v>
      </c>
      <c r="L744" s="4">
        <v>0.03</v>
      </c>
      <c r="M744" t="s">
        <v>27</v>
      </c>
      <c r="N744" t="s">
        <v>22</v>
      </c>
      <c r="O744" t="s">
        <v>53</v>
      </c>
    </row>
    <row r="745" spans="1:15" x14ac:dyDescent="0.25">
      <c r="A745" s="3">
        <v>1057</v>
      </c>
      <c r="B745" s="1">
        <v>45221</v>
      </c>
      <c r="C745" t="s">
        <v>38</v>
      </c>
      <c r="D745" t="s">
        <v>25</v>
      </c>
      <c r="E745" s="2">
        <f>Table1[[#This Row],[Quantity_Sold]] * Table1[[#This Row],[Unit_Price]] * (1 - (Table1[[#This Row],[Discount]] / 100))</f>
        <v>148600.75751999998</v>
      </c>
      <c r="F745" s="2">
        <f>Table1[[#This Row],[Quantity_Sold]] * ((Table1[[#This Row],[Unit_Price]] * (1 - (Table1[[#This Row],[Discount]] / 100))) - Table1[[#This Row],[Unit_Cost]])</f>
        <v>19265.957520000011</v>
      </c>
      <c r="G745" s="3">
        <v>40</v>
      </c>
      <c r="H745" t="s">
        <v>29</v>
      </c>
      <c r="I745">
        <v>3233.37</v>
      </c>
      <c r="J745" s="2">
        <v>3723.21</v>
      </c>
      <c r="K745" t="s">
        <v>30</v>
      </c>
      <c r="L745" s="4">
        <v>0.22</v>
      </c>
      <c r="M745" t="s">
        <v>27</v>
      </c>
      <c r="N745" t="s">
        <v>22</v>
      </c>
      <c r="O745" t="s">
        <v>39</v>
      </c>
    </row>
    <row r="746" spans="1:15" x14ac:dyDescent="0.25">
      <c r="A746" s="3">
        <v>1075</v>
      </c>
      <c r="B746" s="1">
        <v>45150</v>
      </c>
      <c r="C746" t="s">
        <v>24</v>
      </c>
      <c r="D746" t="s">
        <v>34</v>
      </c>
      <c r="E746" s="2">
        <f>Table1[[#This Row],[Quantity_Sold]] * Table1[[#This Row],[Unit_Price]] * (1 - (Table1[[#This Row],[Discount]] / 100))</f>
        <v>27432.104560000003</v>
      </c>
      <c r="F746" s="2">
        <f>Table1[[#This Row],[Quantity_Sold]] * ((Table1[[#This Row],[Unit_Price]] * (1 - (Table1[[#This Row],[Discount]] / 100))) - Table1[[#This Row],[Unit_Cost]])</f>
        <v>4851.084560000003</v>
      </c>
      <c r="G746" s="3">
        <v>14</v>
      </c>
      <c r="H746" t="s">
        <v>16</v>
      </c>
      <c r="I746">
        <v>1612.93</v>
      </c>
      <c r="J746" s="2">
        <v>1964.15</v>
      </c>
      <c r="K746" t="s">
        <v>17</v>
      </c>
      <c r="L746" s="4">
        <v>0.24</v>
      </c>
      <c r="M746" t="s">
        <v>27</v>
      </c>
      <c r="N746" t="s">
        <v>22</v>
      </c>
      <c r="O746" t="s">
        <v>50</v>
      </c>
    </row>
    <row r="747" spans="1:15" x14ac:dyDescent="0.25">
      <c r="A747" s="3">
        <v>1012</v>
      </c>
      <c r="B747" s="1">
        <v>44939</v>
      </c>
      <c r="C747" t="s">
        <v>42</v>
      </c>
      <c r="D747" t="s">
        <v>34</v>
      </c>
      <c r="E747" s="2">
        <f>Table1[[#This Row],[Quantity_Sold]] * Table1[[#This Row],[Unit_Price]] * (1 - (Table1[[#This Row],[Discount]] / 100))</f>
        <v>135057.677352</v>
      </c>
      <c r="F747" s="2">
        <f>Table1[[#This Row],[Quantity_Sold]] * ((Table1[[#This Row],[Unit_Price]] * (1 - (Table1[[#This Row],[Discount]] / 100))) - Table1[[#This Row],[Unit_Cost]])</f>
        <v>13123.397351999993</v>
      </c>
      <c r="G747" s="3">
        <v>39</v>
      </c>
      <c r="H747" t="s">
        <v>16</v>
      </c>
      <c r="I747">
        <v>3126.52</v>
      </c>
      <c r="J747" s="2">
        <v>3465.79</v>
      </c>
      <c r="K747" t="s">
        <v>30</v>
      </c>
      <c r="L747" s="4">
        <v>0.08</v>
      </c>
      <c r="M747" t="s">
        <v>18</v>
      </c>
      <c r="N747" t="s">
        <v>19</v>
      </c>
      <c r="O747" t="s">
        <v>52</v>
      </c>
    </row>
    <row r="748" spans="1:15" x14ac:dyDescent="0.25">
      <c r="A748" s="3">
        <v>1074</v>
      </c>
      <c r="B748" s="1">
        <v>44972</v>
      </c>
      <c r="C748" t="s">
        <v>42</v>
      </c>
      <c r="D748" t="s">
        <v>25</v>
      </c>
      <c r="E748" s="2">
        <f>Table1[[#This Row],[Quantity_Sold]] * Table1[[#This Row],[Unit_Price]] * (1 - (Table1[[#This Row],[Discount]] / 100))</f>
        <v>39198.794750000001</v>
      </c>
      <c r="F748" s="2">
        <f>Table1[[#This Row],[Quantity_Sold]] * ((Table1[[#This Row],[Unit_Price]] * (1 - (Table1[[#This Row],[Discount]] / 100))) - Table1[[#This Row],[Unit_Cost]])</f>
        <v>3910.8747500000063</v>
      </c>
      <c r="G748" s="3">
        <v>31</v>
      </c>
      <c r="H748" t="s">
        <v>16</v>
      </c>
      <c r="I748">
        <v>1138.32</v>
      </c>
      <c r="J748" s="2">
        <v>1266.25</v>
      </c>
      <c r="K748" t="s">
        <v>17</v>
      </c>
      <c r="L748" s="4">
        <v>0.14000000000000001</v>
      </c>
      <c r="M748" t="s">
        <v>18</v>
      </c>
      <c r="N748" t="s">
        <v>22</v>
      </c>
      <c r="O748" t="s">
        <v>43</v>
      </c>
    </row>
    <row r="749" spans="1:15" x14ac:dyDescent="0.25">
      <c r="A749" s="3">
        <v>1096</v>
      </c>
      <c r="B749" s="1">
        <v>45081</v>
      </c>
      <c r="C749" t="s">
        <v>14</v>
      </c>
      <c r="D749" t="s">
        <v>25</v>
      </c>
      <c r="E749" s="2">
        <f>Table1[[#This Row],[Quantity_Sold]] * Table1[[#This Row],[Unit_Price]] * (1 - (Table1[[#This Row],[Discount]] / 100))</f>
        <v>36691.266191999865</v>
      </c>
      <c r="F749" s="2">
        <f>Table1[[#This Row],[Quantity_Sold]] * ((Table1[[#This Row],[Unit_Price]] * (1 - (Table1[[#This Row],[Discount]] / 100))) - Table1[[#This Row],[Unit_Cost]])</f>
        <v>5163.9661919998634</v>
      </c>
      <c r="G749" s="3">
        <v>14</v>
      </c>
      <c r="H749" t="s">
        <v>16</v>
      </c>
      <c r="I749">
        <v>2251.9499999999998</v>
      </c>
      <c r="J749" s="2">
        <v>2626.3199999999902</v>
      </c>
      <c r="K749" t="s">
        <v>17</v>
      </c>
      <c r="L749" s="4">
        <v>0.21</v>
      </c>
      <c r="M749" t="s">
        <v>31</v>
      </c>
      <c r="N749" t="s">
        <v>19</v>
      </c>
      <c r="O749" t="s">
        <v>32</v>
      </c>
    </row>
    <row r="750" spans="1:15" x14ac:dyDescent="0.25">
      <c r="A750" s="3">
        <v>1016</v>
      </c>
      <c r="B750" s="1">
        <v>45039</v>
      </c>
      <c r="C750" t="s">
        <v>24</v>
      </c>
      <c r="D750" t="s">
        <v>25</v>
      </c>
      <c r="E750" s="2">
        <f>Table1[[#This Row],[Quantity_Sold]] * Table1[[#This Row],[Unit_Price]] * (1 - (Table1[[#This Row],[Discount]] / 100))</f>
        <v>29240.258184000002</v>
      </c>
      <c r="F750" s="2">
        <f>Table1[[#This Row],[Quantity_Sold]] * ((Table1[[#This Row],[Unit_Price]] * (1 - (Table1[[#This Row],[Discount]] / 100))) - Table1[[#This Row],[Unit_Cost]])</f>
        <v>2227.718184000003</v>
      </c>
      <c r="G750" s="3">
        <v>6</v>
      </c>
      <c r="H750" t="s">
        <v>16</v>
      </c>
      <c r="I750">
        <v>4502.09</v>
      </c>
      <c r="J750" s="2">
        <v>4879.72</v>
      </c>
      <c r="K750" t="s">
        <v>30</v>
      </c>
      <c r="L750" s="4">
        <v>0.13</v>
      </c>
      <c r="M750" t="s">
        <v>31</v>
      </c>
      <c r="N750" t="s">
        <v>19</v>
      </c>
      <c r="O750" t="s">
        <v>28</v>
      </c>
    </row>
    <row r="751" spans="1:15" x14ac:dyDescent="0.25">
      <c r="A751" s="3">
        <v>1072</v>
      </c>
      <c r="B751" s="1">
        <v>45159</v>
      </c>
      <c r="C751" t="s">
        <v>42</v>
      </c>
      <c r="D751" t="s">
        <v>21</v>
      </c>
      <c r="E751" s="2">
        <f>Table1[[#This Row],[Quantity_Sold]] * Table1[[#This Row],[Unit_Price]] * (1 - (Table1[[#This Row],[Discount]] / 100))</f>
        <v>10514.364744</v>
      </c>
      <c r="F751" s="2">
        <f>Table1[[#This Row],[Quantity_Sold]] * ((Table1[[#This Row],[Unit_Price]] * (1 - (Table1[[#This Row],[Discount]] / 100))) - Table1[[#This Row],[Unit_Cost]])</f>
        <v>1982.4847440000008</v>
      </c>
      <c r="G751" s="3">
        <v>12</v>
      </c>
      <c r="H751" t="s">
        <v>29</v>
      </c>
      <c r="I751">
        <v>710.99</v>
      </c>
      <c r="J751" s="2">
        <v>876.46</v>
      </c>
      <c r="K751" t="s">
        <v>17</v>
      </c>
      <c r="L751" s="4">
        <v>0.03</v>
      </c>
      <c r="M751" t="s">
        <v>31</v>
      </c>
      <c r="N751" t="s">
        <v>19</v>
      </c>
      <c r="O751" t="s">
        <v>51</v>
      </c>
    </row>
    <row r="752" spans="1:15" x14ac:dyDescent="0.25">
      <c r="A752" s="3">
        <v>1076</v>
      </c>
      <c r="B752" s="1">
        <v>44943</v>
      </c>
      <c r="C752" t="s">
        <v>33</v>
      </c>
      <c r="D752" t="s">
        <v>25</v>
      </c>
      <c r="E752" s="2">
        <f>Table1[[#This Row],[Quantity_Sold]] * Table1[[#This Row],[Unit_Price]] * (1 - (Table1[[#This Row],[Discount]] / 100))</f>
        <v>35304.424687999999</v>
      </c>
      <c r="F752" s="2">
        <f>Table1[[#This Row],[Quantity_Sold]] * ((Table1[[#This Row],[Unit_Price]] * (1 - (Table1[[#This Row],[Discount]] / 100))) - Table1[[#This Row],[Unit_Cost]])</f>
        <v>3878.0246879999977</v>
      </c>
      <c r="G752" s="3">
        <v>16</v>
      </c>
      <c r="H752" t="s">
        <v>29</v>
      </c>
      <c r="I752">
        <v>1964.15</v>
      </c>
      <c r="J752" s="2">
        <v>2211.17</v>
      </c>
      <c r="K752" t="s">
        <v>17</v>
      </c>
      <c r="L752" s="4">
        <v>0.21</v>
      </c>
      <c r="M752" t="s">
        <v>27</v>
      </c>
      <c r="N752" t="s">
        <v>19</v>
      </c>
      <c r="O752" t="s">
        <v>44</v>
      </c>
    </row>
    <row r="753" spans="1:15" x14ac:dyDescent="0.25">
      <c r="A753" s="3">
        <v>1024</v>
      </c>
      <c r="B753" s="1">
        <v>45286</v>
      </c>
      <c r="C753" t="s">
        <v>24</v>
      </c>
      <c r="D753" t="s">
        <v>15</v>
      </c>
      <c r="E753" s="2">
        <f>Table1[[#This Row],[Quantity_Sold]] * Table1[[#This Row],[Unit_Price]] * (1 - (Table1[[#This Row],[Discount]] / 100))</f>
        <v>72377.391981999841</v>
      </c>
      <c r="F753" s="2">
        <f>Table1[[#This Row],[Quantity_Sold]] * ((Table1[[#This Row],[Unit_Price]] * (1 - (Table1[[#This Row],[Discount]] / 100))) - Table1[[#This Row],[Unit_Cost]])</f>
        <v>2428.1719819998307</v>
      </c>
      <c r="G753" s="3">
        <v>17</v>
      </c>
      <c r="H753" t="s">
        <v>16</v>
      </c>
      <c r="I753">
        <v>4114.66</v>
      </c>
      <c r="J753" s="2">
        <v>4269.0199999999904</v>
      </c>
      <c r="K753" t="s">
        <v>17</v>
      </c>
      <c r="L753" s="4">
        <v>0.27</v>
      </c>
      <c r="M753" t="s">
        <v>27</v>
      </c>
      <c r="N753" t="s">
        <v>22</v>
      </c>
      <c r="O753" t="s">
        <v>45</v>
      </c>
    </row>
    <row r="754" spans="1:15" x14ac:dyDescent="0.25">
      <c r="A754" s="3">
        <v>1028</v>
      </c>
      <c r="B754" s="1">
        <v>45149</v>
      </c>
      <c r="C754" t="s">
        <v>33</v>
      </c>
      <c r="D754" t="s">
        <v>21</v>
      </c>
      <c r="E754" s="2">
        <f>Table1[[#This Row],[Quantity_Sold]] * Table1[[#This Row],[Unit_Price]] * (1 - (Table1[[#This Row],[Discount]] / 100))</f>
        <v>223910.0325</v>
      </c>
      <c r="F754" s="2">
        <f>Table1[[#This Row],[Quantity_Sold]] * ((Table1[[#This Row],[Unit_Price]] * (1 - (Table1[[#This Row],[Discount]] / 100))) - Table1[[#This Row],[Unit_Cost]])</f>
        <v>5705.9325000000354</v>
      </c>
      <c r="G754" s="3">
        <v>45</v>
      </c>
      <c r="H754" t="s">
        <v>29</v>
      </c>
      <c r="I754">
        <v>4848.9799999999996</v>
      </c>
      <c r="J754" s="2">
        <v>4985.75</v>
      </c>
      <c r="K754" t="s">
        <v>17</v>
      </c>
      <c r="L754" s="4">
        <v>0.2</v>
      </c>
      <c r="M754" t="s">
        <v>27</v>
      </c>
      <c r="N754" t="s">
        <v>19</v>
      </c>
      <c r="O754" t="s">
        <v>37</v>
      </c>
    </row>
    <row r="755" spans="1:15" x14ac:dyDescent="0.25">
      <c r="A755" s="3">
        <v>1008</v>
      </c>
      <c r="B755" s="1">
        <v>45280</v>
      </c>
      <c r="C755" t="s">
        <v>33</v>
      </c>
      <c r="D755" t="s">
        <v>21</v>
      </c>
      <c r="E755" s="2">
        <f>Table1[[#This Row],[Quantity_Sold]] * Table1[[#This Row],[Unit_Price]] * (1 - (Table1[[#This Row],[Discount]] / 100))</f>
        <v>53228.552101999994</v>
      </c>
      <c r="F755" s="2">
        <f>Table1[[#This Row],[Quantity_Sold]] * ((Table1[[#This Row],[Unit_Price]] * (1 - (Table1[[#This Row],[Discount]] / 100))) - Table1[[#This Row],[Unit_Cost]])</f>
        <v>399.16210200000251</v>
      </c>
      <c r="G755" s="3">
        <v>23</v>
      </c>
      <c r="H755" t="s">
        <v>29</v>
      </c>
      <c r="I755">
        <v>2296.9299999999998</v>
      </c>
      <c r="J755" s="2">
        <v>2319.62</v>
      </c>
      <c r="K755" t="s">
        <v>17</v>
      </c>
      <c r="L755" s="4">
        <v>0.23</v>
      </c>
      <c r="M755" t="s">
        <v>27</v>
      </c>
      <c r="N755" t="s">
        <v>22</v>
      </c>
      <c r="O755" t="s">
        <v>37</v>
      </c>
    </row>
    <row r="756" spans="1:15" x14ac:dyDescent="0.25">
      <c r="A756" s="3">
        <v>1092</v>
      </c>
      <c r="B756" s="1">
        <v>45114</v>
      </c>
      <c r="C756" t="s">
        <v>42</v>
      </c>
      <c r="D756" t="s">
        <v>25</v>
      </c>
      <c r="E756" s="2">
        <f>Table1[[#This Row],[Quantity_Sold]] * Table1[[#This Row],[Unit_Price]] * (1 - (Table1[[#This Row],[Discount]] / 100))</f>
        <v>37889.875240000001</v>
      </c>
      <c r="F756" s="2">
        <f>Table1[[#This Row],[Quantity_Sold]] * ((Table1[[#This Row],[Unit_Price]] * (1 - (Table1[[#This Row],[Discount]] / 100))) - Table1[[#This Row],[Unit_Cost]])</f>
        <v>2054.775239999999</v>
      </c>
      <c r="G756" s="3">
        <v>14</v>
      </c>
      <c r="H756" t="s">
        <v>16</v>
      </c>
      <c r="I756">
        <v>2559.65</v>
      </c>
      <c r="J756" s="2">
        <v>2709.4</v>
      </c>
      <c r="K756" t="s">
        <v>17</v>
      </c>
      <c r="L756" s="4">
        <v>0.11</v>
      </c>
      <c r="M756" t="s">
        <v>31</v>
      </c>
      <c r="N756" t="s">
        <v>22</v>
      </c>
      <c r="O756" t="s">
        <v>43</v>
      </c>
    </row>
    <row r="757" spans="1:15" x14ac:dyDescent="0.25">
      <c r="A757" s="3">
        <v>1036</v>
      </c>
      <c r="B757" s="1">
        <v>45270</v>
      </c>
      <c r="C757" t="s">
        <v>24</v>
      </c>
      <c r="D757" t="s">
        <v>15</v>
      </c>
      <c r="E757" s="2">
        <f>Table1[[#This Row],[Quantity_Sold]] * Table1[[#This Row],[Unit_Price]] * (1 - (Table1[[#This Row],[Discount]] / 100))</f>
        <v>22134.82705</v>
      </c>
      <c r="F757" s="2">
        <f>Table1[[#This Row],[Quantity_Sold]] * ((Table1[[#This Row],[Unit_Price]] * (1 - (Table1[[#This Row],[Discount]] / 100))) - Table1[[#This Row],[Unit_Cost]])</f>
        <v>1959.0770499999985</v>
      </c>
      <c r="G757" s="3">
        <v>7</v>
      </c>
      <c r="H757" t="s">
        <v>26</v>
      </c>
      <c r="I757">
        <v>2882.25</v>
      </c>
      <c r="J757" s="2">
        <v>3163.7</v>
      </c>
      <c r="K757" t="s">
        <v>17</v>
      </c>
      <c r="L757" s="4">
        <v>0.05</v>
      </c>
      <c r="M757" t="s">
        <v>18</v>
      </c>
      <c r="N757" t="s">
        <v>22</v>
      </c>
      <c r="O757" t="s">
        <v>45</v>
      </c>
    </row>
    <row r="758" spans="1:15" x14ac:dyDescent="0.25">
      <c r="A758" s="3">
        <v>1090</v>
      </c>
      <c r="B758" s="1">
        <v>45291</v>
      </c>
      <c r="C758" t="s">
        <v>38</v>
      </c>
      <c r="D758" t="s">
        <v>21</v>
      </c>
      <c r="E758" s="2">
        <f>Table1[[#This Row],[Quantity_Sold]] * Table1[[#This Row],[Unit_Price]] * (1 - (Table1[[#This Row],[Discount]] / 100))</f>
        <v>214682.72633999999</v>
      </c>
      <c r="F758" s="2">
        <f>Table1[[#This Row],[Quantity_Sold]] * ((Table1[[#This Row],[Unit_Price]] * (1 - (Table1[[#This Row],[Discount]] / 100))) - Table1[[#This Row],[Unit_Cost]])</f>
        <v>87.206339999980628</v>
      </c>
      <c r="G758" s="3">
        <v>46</v>
      </c>
      <c r="H758" t="s">
        <v>29</v>
      </c>
      <c r="I758">
        <v>4665.12</v>
      </c>
      <c r="J758" s="2">
        <v>4675.8999999999996</v>
      </c>
      <c r="K758" t="s">
        <v>30</v>
      </c>
      <c r="L758" s="4">
        <v>0.19</v>
      </c>
      <c r="M758" t="s">
        <v>18</v>
      </c>
      <c r="N758" t="s">
        <v>22</v>
      </c>
      <c r="O758" t="s">
        <v>41</v>
      </c>
    </row>
    <row r="759" spans="1:15" x14ac:dyDescent="0.25">
      <c r="A759" s="3">
        <v>1008</v>
      </c>
      <c r="B759" s="1">
        <v>45089</v>
      </c>
      <c r="C759" t="s">
        <v>42</v>
      </c>
      <c r="D759" t="s">
        <v>34</v>
      </c>
      <c r="E759" s="2">
        <f>Table1[[#This Row],[Quantity_Sold]] * Table1[[#This Row],[Unit_Price]] * (1 - (Table1[[#This Row],[Discount]] / 100))</f>
        <v>142158.49919999999</v>
      </c>
      <c r="F759" s="2">
        <f>Table1[[#This Row],[Quantity_Sold]] * ((Table1[[#This Row],[Unit_Price]] * (1 - (Table1[[#This Row],[Discount]] / 100))) - Table1[[#This Row],[Unit_Cost]])</f>
        <v>4618.6591999999946</v>
      </c>
      <c r="G759" s="3">
        <v>32</v>
      </c>
      <c r="H759" t="s">
        <v>26</v>
      </c>
      <c r="I759">
        <v>4298.12</v>
      </c>
      <c r="J759" s="2">
        <v>4446.8999999999996</v>
      </c>
      <c r="K759" t="s">
        <v>30</v>
      </c>
      <c r="L759" s="4">
        <v>0.1</v>
      </c>
      <c r="M759" t="s">
        <v>27</v>
      </c>
      <c r="N759" t="s">
        <v>19</v>
      </c>
      <c r="O759" t="s">
        <v>52</v>
      </c>
    </row>
    <row r="760" spans="1:15" x14ac:dyDescent="0.25">
      <c r="A760" s="3">
        <v>1058</v>
      </c>
      <c r="B760" s="1">
        <v>45252</v>
      </c>
      <c r="C760" t="s">
        <v>42</v>
      </c>
      <c r="D760" t="s">
        <v>21</v>
      </c>
      <c r="E760" s="2">
        <f>Table1[[#This Row],[Quantity_Sold]] * Table1[[#This Row],[Unit_Price]] * (1 - (Table1[[#This Row],[Discount]] / 100))</f>
        <v>19993.431569999997</v>
      </c>
      <c r="F760" s="2">
        <f>Table1[[#This Row],[Quantity_Sold]] * ((Table1[[#This Row],[Unit_Price]] * (1 - (Table1[[#This Row],[Discount]] / 100))) - Table1[[#This Row],[Unit_Cost]])</f>
        <v>6576.2315699999963</v>
      </c>
      <c r="G760" s="3">
        <v>15</v>
      </c>
      <c r="H760" t="s">
        <v>29</v>
      </c>
      <c r="I760">
        <v>894.48</v>
      </c>
      <c r="J760" s="2">
        <v>1336.37</v>
      </c>
      <c r="K760" t="s">
        <v>17</v>
      </c>
      <c r="L760" s="4">
        <v>0.26</v>
      </c>
      <c r="M760" t="s">
        <v>18</v>
      </c>
      <c r="N760" t="s">
        <v>22</v>
      </c>
      <c r="O760" t="s">
        <v>51</v>
      </c>
    </row>
    <row r="761" spans="1:15" x14ac:dyDescent="0.25">
      <c r="A761" s="3">
        <v>1060</v>
      </c>
      <c r="B761" s="1">
        <v>45000</v>
      </c>
      <c r="C761" t="s">
        <v>24</v>
      </c>
      <c r="D761" t="s">
        <v>25</v>
      </c>
      <c r="E761" s="2">
        <f>Table1[[#This Row],[Quantity_Sold]] * Table1[[#This Row],[Unit_Price]] * (1 - (Table1[[#This Row],[Discount]] / 100))</f>
        <v>110520.73401599958</v>
      </c>
      <c r="F761" s="2">
        <f>Table1[[#This Row],[Quantity_Sold]] * ((Table1[[#This Row],[Unit_Price]] * (1 - (Table1[[#This Row],[Discount]] / 100))) - Table1[[#This Row],[Unit_Cost]])</f>
        <v>13194.934015999585</v>
      </c>
      <c r="G761" s="3">
        <v>44</v>
      </c>
      <c r="H761" t="s">
        <v>29</v>
      </c>
      <c r="I761">
        <v>2211.9499999999998</v>
      </c>
      <c r="J761" s="2">
        <v>2512.8399999999901</v>
      </c>
      <c r="K761" t="s">
        <v>17</v>
      </c>
      <c r="L761" s="4">
        <v>0.04</v>
      </c>
      <c r="M761" t="s">
        <v>18</v>
      </c>
      <c r="N761" t="s">
        <v>19</v>
      </c>
      <c r="O761" t="s">
        <v>28</v>
      </c>
    </row>
    <row r="762" spans="1:15" x14ac:dyDescent="0.25">
      <c r="A762" s="3">
        <v>1050</v>
      </c>
      <c r="B762" s="1">
        <v>45159</v>
      </c>
      <c r="C762" t="s">
        <v>24</v>
      </c>
      <c r="D762" t="s">
        <v>15</v>
      </c>
      <c r="E762" s="2">
        <f>Table1[[#This Row],[Quantity_Sold]] * Table1[[#This Row],[Unit_Price]] * (1 - (Table1[[#This Row],[Discount]] / 100))</f>
        <v>45070.382235000005</v>
      </c>
      <c r="F762" s="2">
        <f>Table1[[#This Row],[Quantity_Sold]] * ((Table1[[#This Row],[Unit_Price]] * (1 - (Table1[[#This Row],[Discount]] / 100))) - Table1[[#This Row],[Unit_Cost]])</f>
        <v>5174.7822350000024</v>
      </c>
      <c r="G762" s="3">
        <v>17</v>
      </c>
      <c r="H762" t="s">
        <v>16</v>
      </c>
      <c r="I762">
        <v>2346.8000000000002</v>
      </c>
      <c r="J762" s="2">
        <v>2654.65</v>
      </c>
      <c r="K762" t="s">
        <v>30</v>
      </c>
      <c r="L762" s="4">
        <v>0.13</v>
      </c>
      <c r="M762" t="s">
        <v>18</v>
      </c>
      <c r="N762" t="s">
        <v>22</v>
      </c>
      <c r="O762" t="s">
        <v>45</v>
      </c>
    </row>
    <row r="763" spans="1:15" x14ac:dyDescent="0.25">
      <c r="A763" s="3">
        <v>1028</v>
      </c>
      <c r="B763" s="1">
        <v>45150</v>
      </c>
      <c r="C763" t="s">
        <v>33</v>
      </c>
      <c r="D763" t="s">
        <v>25</v>
      </c>
      <c r="E763" s="2">
        <f>Table1[[#This Row],[Quantity_Sold]] * Table1[[#This Row],[Unit_Price]] * (1 - (Table1[[#This Row],[Discount]] / 100))</f>
        <v>170506.02694400001</v>
      </c>
      <c r="F763" s="2">
        <f>Table1[[#This Row],[Quantity_Sold]] * ((Table1[[#This Row],[Unit_Price]] * (1 - (Table1[[#This Row],[Discount]] / 100))) - Table1[[#This Row],[Unit_Cost]])</f>
        <v>8308.7969440000052</v>
      </c>
      <c r="G763" s="3">
        <v>41</v>
      </c>
      <c r="H763" t="s">
        <v>29</v>
      </c>
      <c r="I763">
        <v>3956.03</v>
      </c>
      <c r="J763" s="2">
        <v>4163.68</v>
      </c>
      <c r="K763" t="s">
        <v>30</v>
      </c>
      <c r="L763" s="4">
        <v>0.12</v>
      </c>
      <c r="M763" t="s">
        <v>27</v>
      </c>
      <c r="N763" t="s">
        <v>22</v>
      </c>
      <c r="O763" t="s">
        <v>44</v>
      </c>
    </row>
    <row r="764" spans="1:15" x14ac:dyDescent="0.25">
      <c r="A764" s="3">
        <v>1092</v>
      </c>
      <c r="B764" s="1">
        <v>45245</v>
      </c>
      <c r="C764" t="s">
        <v>24</v>
      </c>
      <c r="D764" t="s">
        <v>34</v>
      </c>
      <c r="E764" s="2">
        <f>Table1[[#This Row],[Quantity_Sold]] * Table1[[#This Row],[Unit_Price]] * (1 - (Table1[[#This Row],[Discount]] / 100))</f>
        <v>158217.876036</v>
      </c>
      <c r="F764" s="2">
        <f>Table1[[#This Row],[Quantity_Sold]] * ((Table1[[#This Row],[Unit_Price]] * (1 - (Table1[[#This Row],[Discount]] / 100))) - Table1[[#This Row],[Unit_Cost]])</f>
        <v>15604.836035999984</v>
      </c>
      <c r="G764" s="3">
        <v>47</v>
      </c>
      <c r="H764" t="s">
        <v>35</v>
      </c>
      <c r="I764">
        <v>3034.32</v>
      </c>
      <c r="J764" s="2">
        <v>3375.79</v>
      </c>
      <c r="K764" t="s">
        <v>30</v>
      </c>
      <c r="L764" s="4">
        <v>0.28000000000000003</v>
      </c>
      <c r="M764" t="s">
        <v>31</v>
      </c>
      <c r="N764" t="s">
        <v>19</v>
      </c>
      <c r="O764" t="s">
        <v>50</v>
      </c>
    </row>
    <row r="765" spans="1:15" x14ac:dyDescent="0.25">
      <c r="A765" s="3">
        <v>1041</v>
      </c>
      <c r="B765" s="1">
        <v>44986</v>
      </c>
      <c r="C765" t="s">
        <v>33</v>
      </c>
      <c r="D765" t="s">
        <v>34</v>
      </c>
      <c r="E765" s="2">
        <f>Table1[[#This Row],[Quantity_Sold]] * Table1[[#This Row],[Unit_Price]] * (1 - (Table1[[#This Row],[Discount]] / 100))</f>
        <v>149149.62787999999</v>
      </c>
      <c r="F765" s="2">
        <f>Table1[[#This Row],[Quantity_Sold]] * ((Table1[[#This Row],[Unit_Price]] * (1 - (Table1[[#This Row],[Discount]] / 100))) - Table1[[#This Row],[Unit_Cost]])</f>
        <v>4460.4678800000111</v>
      </c>
      <c r="G765" s="3">
        <v>44</v>
      </c>
      <c r="H765" t="s">
        <v>35</v>
      </c>
      <c r="I765">
        <v>3288.39</v>
      </c>
      <c r="J765" s="2">
        <v>3391.46</v>
      </c>
      <c r="K765" t="s">
        <v>30</v>
      </c>
      <c r="L765" s="4">
        <v>0.05</v>
      </c>
      <c r="M765" t="s">
        <v>31</v>
      </c>
      <c r="N765" t="s">
        <v>22</v>
      </c>
      <c r="O765" t="s">
        <v>36</v>
      </c>
    </row>
    <row r="766" spans="1:15" x14ac:dyDescent="0.25">
      <c r="A766" s="3">
        <v>1100</v>
      </c>
      <c r="B766" s="1">
        <v>45261</v>
      </c>
      <c r="C766" t="s">
        <v>42</v>
      </c>
      <c r="D766" t="s">
        <v>34</v>
      </c>
      <c r="E766" s="2">
        <f>Table1[[#This Row],[Quantity_Sold]] * Table1[[#This Row],[Unit_Price]] * (1 - (Table1[[#This Row],[Discount]] / 100))</f>
        <v>183677.52</v>
      </c>
      <c r="F766" s="2">
        <f>Table1[[#This Row],[Quantity_Sold]] * ((Table1[[#This Row],[Unit_Price]] * (1 - (Table1[[#This Row],[Discount]] / 100))) - Table1[[#This Row],[Unit_Cost]])</f>
        <v>13980.459999999986</v>
      </c>
      <c r="G766" s="3">
        <v>34</v>
      </c>
      <c r="H766" t="s">
        <v>16</v>
      </c>
      <c r="I766">
        <v>4991.09</v>
      </c>
      <c r="J766" s="2">
        <v>5402.28</v>
      </c>
      <c r="K766" t="s">
        <v>17</v>
      </c>
      <c r="L766" s="4">
        <v>0</v>
      </c>
      <c r="M766" t="s">
        <v>18</v>
      </c>
      <c r="N766" t="s">
        <v>22</v>
      </c>
      <c r="O766" t="s">
        <v>52</v>
      </c>
    </row>
    <row r="767" spans="1:15" x14ac:dyDescent="0.25">
      <c r="A767" s="3">
        <v>1064</v>
      </c>
      <c r="B767" s="1">
        <v>45148</v>
      </c>
      <c r="C767" t="s">
        <v>14</v>
      </c>
      <c r="D767" t="s">
        <v>25</v>
      </c>
      <c r="E767" s="2">
        <f>Table1[[#This Row],[Quantity_Sold]] * Table1[[#This Row],[Unit_Price]] * (1 - (Table1[[#This Row],[Discount]] / 100))</f>
        <v>2439.4411949999999</v>
      </c>
      <c r="F767" s="2">
        <f>Table1[[#This Row],[Quantity_Sold]] * ((Table1[[#This Row],[Unit_Price]] * (1 - (Table1[[#This Row],[Discount]] / 100))) - Table1[[#This Row],[Unit_Cost]])</f>
        <v>334.19119499999994</v>
      </c>
      <c r="G767" s="3">
        <v>5</v>
      </c>
      <c r="H767" t="s">
        <v>26</v>
      </c>
      <c r="I767">
        <v>421.05</v>
      </c>
      <c r="J767" s="2">
        <v>488.23</v>
      </c>
      <c r="K767" t="s">
        <v>17</v>
      </c>
      <c r="L767" s="4">
        <v>7.0000000000000007E-2</v>
      </c>
      <c r="M767" t="s">
        <v>31</v>
      </c>
      <c r="N767" t="s">
        <v>22</v>
      </c>
      <c r="O767" t="s">
        <v>32</v>
      </c>
    </row>
    <row r="768" spans="1:15" x14ac:dyDescent="0.25">
      <c r="A768" s="3">
        <v>1027</v>
      </c>
      <c r="B768" s="1">
        <v>44963</v>
      </c>
      <c r="C768" t="s">
        <v>38</v>
      </c>
      <c r="D768" t="s">
        <v>21</v>
      </c>
      <c r="E768" s="2">
        <f>Table1[[#This Row],[Quantity_Sold]] * Table1[[#This Row],[Unit_Price]] * (1 - (Table1[[#This Row],[Discount]] / 100))</f>
        <v>66673.199250000005</v>
      </c>
      <c r="F768" s="2">
        <f>Table1[[#This Row],[Quantity_Sold]] * ((Table1[[#This Row],[Unit_Price]] * (1 - (Table1[[#This Row],[Discount]] / 100))) - Table1[[#This Row],[Unit_Cost]])</f>
        <v>14747.699249999992</v>
      </c>
      <c r="G768" s="3">
        <v>45</v>
      </c>
      <c r="H768" t="s">
        <v>26</v>
      </c>
      <c r="I768">
        <v>1153.9000000000001</v>
      </c>
      <c r="J768" s="2">
        <v>1485.34</v>
      </c>
      <c r="K768" t="s">
        <v>30</v>
      </c>
      <c r="L768" s="4">
        <v>0.25</v>
      </c>
      <c r="M768" t="s">
        <v>31</v>
      </c>
      <c r="N768" t="s">
        <v>22</v>
      </c>
      <c r="O768" t="s">
        <v>41</v>
      </c>
    </row>
    <row r="769" spans="1:15" x14ac:dyDescent="0.25">
      <c r="A769" s="3">
        <v>1063</v>
      </c>
      <c r="B769" s="1">
        <v>45204</v>
      </c>
      <c r="C769" t="s">
        <v>42</v>
      </c>
      <c r="D769" t="s">
        <v>25</v>
      </c>
      <c r="E769" s="2">
        <f>Table1[[#This Row],[Quantity_Sold]] * Table1[[#This Row],[Unit_Price]] * (1 - (Table1[[#This Row],[Discount]] / 100))</f>
        <v>60612.090911999992</v>
      </c>
      <c r="F769" s="2">
        <f>Table1[[#This Row],[Quantity_Sold]] * ((Table1[[#This Row],[Unit_Price]] * (1 - (Table1[[#This Row],[Discount]] / 100))) - Table1[[#This Row],[Unit_Cost]])</f>
        <v>4746.9309119999925</v>
      </c>
      <c r="G769" s="3">
        <v>27</v>
      </c>
      <c r="H769" t="s">
        <v>26</v>
      </c>
      <c r="I769">
        <v>2069.08</v>
      </c>
      <c r="J769" s="2">
        <v>2246.2399999999998</v>
      </c>
      <c r="K769" t="s">
        <v>30</v>
      </c>
      <c r="L769" s="4">
        <v>0.06</v>
      </c>
      <c r="M769" t="s">
        <v>27</v>
      </c>
      <c r="N769" t="s">
        <v>22</v>
      </c>
      <c r="O769" t="s">
        <v>43</v>
      </c>
    </row>
    <row r="770" spans="1:15" x14ac:dyDescent="0.25">
      <c r="A770" s="3">
        <v>1017</v>
      </c>
      <c r="B770" s="1">
        <v>45122</v>
      </c>
      <c r="C770" t="s">
        <v>24</v>
      </c>
      <c r="D770" t="s">
        <v>15</v>
      </c>
      <c r="E770" s="2">
        <f>Table1[[#This Row],[Quantity_Sold]] * Table1[[#This Row],[Unit_Price]] * (1 - (Table1[[#This Row],[Discount]] / 100))</f>
        <v>49364.820419999996</v>
      </c>
      <c r="F770" s="2">
        <f>Table1[[#This Row],[Quantity_Sold]] * ((Table1[[#This Row],[Unit_Price]] * (1 - (Table1[[#This Row],[Discount]] / 100))) - Table1[[#This Row],[Unit_Cost]])</f>
        <v>8619.8604200000063</v>
      </c>
      <c r="G770" s="3">
        <v>23</v>
      </c>
      <c r="H770" t="s">
        <v>35</v>
      </c>
      <c r="I770">
        <v>1771.52</v>
      </c>
      <c r="J770" s="2">
        <v>2147.8000000000002</v>
      </c>
      <c r="K770" t="s">
        <v>30</v>
      </c>
      <c r="L770" s="4">
        <v>7.0000000000000007E-2</v>
      </c>
      <c r="M770" t="s">
        <v>27</v>
      </c>
      <c r="N770" t="s">
        <v>19</v>
      </c>
      <c r="O770" t="s">
        <v>45</v>
      </c>
    </row>
    <row r="771" spans="1:15" x14ac:dyDescent="0.25">
      <c r="A771" s="3">
        <v>1073</v>
      </c>
      <c r="B771" s="1">
        <v>45278</v>
      </c>
      <c r="C771" t="s">
        <v>38</v>
      </c>
      <c r="D771" t="s">
        <v>21</v>
      </c>
      <c r="E771" s="2">
        <f>Table1[[#This Row],[Quantity_Sold]] * Table1[[#This Row],[Unit_Price]] * (1 - (Table1[[#This Row],[Discount]] / 100))</f>
        <v>17454.215519999998</v>
      </c>
      <c r="F771" s="2">
        <f>Table1[[#This Row],[Quantity_Sold]] * ((Table1[[#This Row],[Unit_Price]] * (1 - (Table1[[#This Row],[Discount]] / 100))) - Table1[[#This Row],[Unit_Cost]])</f>
        <v>11168.215519999998</v>
      </c>
      <c r="G771" s="3">
        <v>40</v>
      </c>
      <c r="H771" t="s">
        <v>26</v>
      </c>
      <c r="I771">
        <v>157.15</v>
      </c>
      <c r="J771" s="2">
        <v>436.53</v>
      </c>
      <c r="K771" t="s">
        <v>30</v>
      </c>
      <c r="L771" s="4">
        <v>0.04</v>
      </c>
      <c r="M771" t="s">
        <v>18</v>
      </c>
      <c r="N771" t="s">
        <v>22</v>
      </c>
      <c r="O771" t="s">
        <v>41</v>
      </c>
    </row>
    <row r="772" spans="1:15" x14ac:dyDescent="0.25">
      <c r="A772" s="3">
        <v>1033</v>
      </c>
      <c r="B772" s="1">
        <v>45168</v>
      </c>
      <c r="C772" t="s">
        <v>14</v>
      </c>
      <c r="D772" t="s">
        <v>34</v>
      </c>
      <c r="E772" s="2">
        <f>Table1[[#This Row],[Quantity_Sold]] * Table1[[#This Row],[Unit_Price]] * (1 - (Table1[[#This Row],[Discount]] / 100))</f>
        <v>10281.663070000001</v>
      </c>
      <c r="F772" s="2">
        <f>Table1[[#This Row],[Quantity_Sold]] * ((Table1[[#This Row],[Unit_Price]] * (1 - (Table1[[#This Row],[Discount]] / 100))) - Table1[[#This Row],[Unit_Cost]])</f>
        <v>3221.4630700000012</v>
      </c>
      <c r="G772" s="3">
        <v>14</v>
      </c>
      <c r="H772" t="s">
        <v>26</v>
      </c>
      <c r="I772">
        <v>504.3</v>
      </c>
      <c r="J772" s="2">
        <v>735.95</v>
      </c>
      <c r="K772" t="s">
        <v>17</v>
      </c>
      <c r="L772" s="4">
        <v>0.21</v>
      </c>
      <c r="M772" t="s">
        <v>18</v>
      </c>
      <c r="N772" t="s">
        <v>22</v>
      </c>
      <c r="O772" t="s">
        <v>46</v>
      </c>
    </row>
    <row r="773" spans="1:15" x14ac:dyDescent="0.25">
      <c r="A773" s="3">
        <v>1084</v>
      </c>
      <c r="B773" s="1">
        <v>45250</v>
      </c>
      <c r="C773" t="s">
        <v>14</v>
      </c>
      <c r="D773" t="s">
        <v>25</v>
      </c>
      <c r="E773" s="2">
        <f>Table1[[#This Row],[Quantity_Sold]] * Table1[[#This Row],[Unit_Price]] * (1 - (Table1[[#This Row],[Discount]] / 100))</f>
        <v>52695.558779999999</v>
      </c>
      <c r="F773" s="2">
        <f>Table1[[#This Row],[Quantity_Sold]] * ((Table1[[#This Row],[Unit_Price]] * (1 - (Table1[[#This Row],[Discount]] / 100))) - Table1[[#This Row],[Unit_Cost]])</f>
        <v>1384.7587800000042</v>
      </c>
      <c r="G773" s="3">
        <v>15</v>
      </c>
      <c r="H773" t="s">
        <v>16</v>
      </c>
      <c r="I773">
        <v>3420.72</v>
      </c>
      <c r="J773" s="2">
        <v>3513.74</v>
      </c>
      <c r="K773" t="s">
        <v>30</v>
      </c>
      <c r="L773" s="4">
        <v>0.02</v>
      </c>
      <c r="M773" t="s">
        <v>18</v>
      </c>
      <c r="N773" t="s">
        <v>19</v>
      </c>
      <c r="O773" t="s">
        <v>32</v>
      </c>
    </row>
    <row r="774" spans="1:15" x14ac:dyDescent="0.25">
      <c r="A774" s="3">
        <v>1077</v>
      </c>
      <c r="B774" s="1">
        <v>45145</v>
      </c>
      <c r="C774" t="s">
        <v>33</v>
      </c>
      <c r="D774" t="s">
        <v>34</v>
      </c>
      <c r="E774" s="2">
        <f>Table1[[#This Row],[Quantity_Sold]] * Table1[[#This Row],[Unit_Price]] * (1 - (Table1[[#This Row],[Discount]] / 100))</f>
        <v>202958.93790000002</v>
      </c>
      <c r="F774" s="2">
        <f>Table1[[#This Row],[Quantity_Sold]] * ((Table1[[#This Row],[Unit_Price]] * (1 - (Table1[[#This Row],[Discount]] / 100))) - Table1[[#This Row],[Unit_Cost]])</f>
        <v>13644.557900000009</v>
      </c>
      <c r="G774" s="3">
        <v>43</v>
      </c>
      <c r="H774" t="s">
        <v>26</v>
      </c>
      <c r="I774">
        <v>4402.66</v>
      </c>
      <c r="J774" s="2">
        <v>4724.7</v>
      </c>
      <c r="K774" t="s">
        <v>30</v>
      </c>
      <c r="L774" s="4">
        <v>0.1</v>
      </c>
      <c r="M774" t="s">
        <v>27</v>
      </c>
      <c r="N774" t="s">
        <v>22</v>
      </c>
      <c r="O774" t="s">
        <v>36</v>
      </c>
    </row>
    <row r="775" spans="1:15" x14ac:dyDescent="0.25">
      <c r="A775" s="3">
        <v>1092</v>
      </c>
      <c r="B775" s="1">
        <v>45118</v>
      </c>
      <c r="C775" t="s">
        <v>38</v>
      </c>
      <c r="D775" t="s">
        <v>34</v>
      </c>
      <c r="E775" s="2">
        <f>Table1[[#This Row],[Quantity_Sold]] * Table1[[#This Row],[Unit_Price]] * (1 - (Table1[[#This Row],[Discount]] / 100))</f>
        <v>101659.587216</v>
      </c>
      <c r="F775" s="2">
        <f>Table1[[#This Row],[Quantity_Sold]] * ((Table1[[#This Row],[Unit_Price]] * (1 - (Table1[[#This Row],[Discount]] / 100))) - Table1[[#This Row],[Unit_Cost]])</f>
        <v>16010.727215999992</v>
      </c>
      <c r="G775" s="3">
        <v>33</v>
      </c>
      <c r="H775" t="s">
        <v>35</v>
      </c>
      <c r="I775">
        <v>2595.42</v>
      </c>
      <c r="J775" s="2">
        <v>3083.06</v>
      </c>
      <c r="K775" t="s">
        <v>30</v>
      </c>
      <c r="L775" s="4">
        <v>0.08</v>
      </c>
      <c r="M775" t="s">
        <v>31</v>
      </c>
      <c r="N775" t="s">
        <v>19</v>
      </c>
      <c r="O775" t="s">
        <v>48</v>
      </c>
    </row>
    <row r="776" spans="1:15" x14ac:dyDescent="0.25">
      <c r="A776" s="3">
        <v>1029</v>
      </c>
      <c r="B776" s="1">
        <v>44943</v>
      </c>
      <c r="C776" t="s">
        <v>33</v>
      </c>
      <c r="D776" t="s">
        <v>15</v>
      </c>
      <c r="E776" s="2">
        <f>Table1[[#This Row],[Quantity_Sold]] * Table1[[#This Row],[Unit_Price]] * (1 - (Table1[[#This Row],[Discount]] / 100))</f>
        <v>96974.911915000004</v>
      </c>
      <c r="F776" s="2">
        <f>Table1[[#This Row],[Quantity_Sold]] * ((Table1[[#This Row],[Unit_Price]] * (1 - (Table1[[#This Row],[Discount]] / 100))) - Table1[[#This Row],[Unit_Cost]])</f>
        <v>12685.911914999997</v>
      </c>
      <c r="G776" s="3">
        <v>31</v>
      </c>
      <c r="H776" t="s">
        <v>35</v>
      </c>
      <c r="I776">
        <v>2719</v>
      </c>
      <c r="J776" s="2">
        <v>3133.55</v>
      </c>
      <c r="K776" t="s">
        <v>17</v>
      </c>
      <c r="L776" s="4">
        <v>0.17</v>
      </c>
      <c r="M776" t="s">
        <v>27</v>
      </c>
      <c r="N776" t="s">
        <v>22</v>
      </c>
      <c r="O776" t="s">
        <v>53</v>
      </c>
    </row>
    <row r="777" spans="1:15" x14ac:dyDescent="0.25">
      <c r="A777" s="3">
        <v>1013</v>
      </c>
      <c r="B777" s="1">
        <v>44938</v>
      </c>
      <c r="C777" t="s">
        <v>42</v>
      </c>
      <c r="D777" t="s">
        <v>21</v>
      </c>
      <c r="E777" s="2">
        <f>Table1[[#This Row],[Quantity_Sold]] * Table1[[#This Row],[Unit_Price]] * (1 - (Table1[[#This Row],[Discount]] / 100))</f>
        <v>47219.737529999999</v>
      </c>
      <c r="F777" s="2">
        <f>Table1[[#This Row],[Quantity_Sold]] * ((Table1[[#This Row],[Unit_Price]] * (1 - (Table1[[#This Row],[Discount]] / 100))) - Table1[[#This Row],[Unit_Cost]])</f>
        <v>1274.8875299999986</v>
      </c>
      <c r="G777" s="3">
        <v>35</v>
      </c>
      <c r="H777" t="s">
        <v>35</v>
      </c>
      <c r="I777">
        <v>1312.71</v>
      </c>
      <c r="J777" s="2">
        <v>1352.11</v>
      </c>
      <c r="K777" t="s">
        <v>17</v>
      </c>
      <c r="L777" s="4">
        <v>0.22</v>
      </c>
      <c r="M777" t="s">
        <v>27</v>
      </c>
      <c r="N777" t="s">
        <v>22</v>
      </c>
      <c r="O777" t="s">
        <v>51</v>
      </c>
    </row>
    <row r="778" spans="1:15" x14ac:dyDescent="0.25">
      <c r="A778" s="3">
        <v>1046</v>
      </c>
      <c r="B778" s="1">
        <v>45119</v>
      </c>
      <c r="C778" t="s">
        <v>38</v>
      </c>
      <c r="D778" t="s">
        <v>15</v>
      </c>
      <c r="E778" s="2">
        <f>Table1[[#This Row],[Quantity_Sold]] * Table1[[#This Row],[Unit_Price]] * (1 - (Table1[[#This Row],[Discount]] / 100))</f>
        <v>68660.746751999832</v>
      </c>
      <c r="F778" s="2">
        <f>Table1[[#This Row],[Quantity_Sold]] * ((Table1[[#This Row],[Unit_Price]] * (1 - (Table1[[#This Row],[Discount]] / 100))) - Table1[[#This Row],[Unit_Cost]])</f>
        <v>3193.9167519998327</v>
      </c>
      <c r="G778" s="3">
        <v>17</v>
      </c>
      <c r="H778" t="s">
        <v>16</v>
      </c>
      <c r="I778">
        <v>3850.99</v>
      </c>
      <c r="J778" s="2">
        <v>4045.3399999999901</v>
      </c>
      <c r="K778" t="s">
        <v>17</v>
      </c>
      <c r="L778" s="4">
        <v>0.16</v>
      </c>
      <c r="M778" t="s">
        <v>31</v>
      </c>
      <c r="N778" t="s">
        <v>19</v>
      </c>
      <c r="O778" t="s">
        <v>40</v>
      </c>
    </row>
    <row r="779" spans="1:15" x14ac:dyDescent="0.25">
      <c r="A779" s="3">
        <v>1035</v>
      </c>
      <c r="B779" s="1">
        <v>44948</v>
      </c>
      <c r="C779" t="s">
        <v>42</v>
      </c>
      <c r="D779" t="s">
        <v>15</v>
      </c>
      <c r="E779" s="2">
        <f>Table1[[#This Row],[Quantity_Sold]] * Table1[[#This Row],[Unit_Price]] * (1 - (Table1[[#This Row],[Discount]] / 100))</f>
        <v>118245.742272</v>
      </c>
      <c r="F779" s="2">
        <f>Table1[[#This Row],[Quantity_Sold]] * ((Table1[[#This Row],[Unit_Price]] * (1 - (Table1[[#This Row],[Discount]] / 100))) - Table1[[#This Row],[Unit_Cost]])</f>
        <v>12647.102272000004</v>
      </c>
      <c r="G779" s="3">
        <v>28</v>
      </c>
      <c r="H779" t="s">
        <v>16</v>
      </c>
      <c r="I779">
        <v>3771.38</v>
      </c>
      <c r="J779" s="2">
        <v>4234.92</v>
      </c>
      <c r="K779" t="s">
        <v>30</v>
      </c>
      <c r="L779" s="4">
        <v>0.28000000000000003</v>
      </c>
      <c r="M779" t="s">
        <v>31</v>
      </c>
      <c r="N779" t="s">
        <v>22</v>
      </c>
      <c r="O779" t="s">
        <v>49</v>
      </c>
    </row>
    <row r="780" spans="1:15" x14ac:dyDescent="0.25">
      <c r="A780" s="3">
        <v>1006</v>
      </c>
      <c r="B780" s="1">
        <v>45046</v>
      </c>
      <c r="C780" t="s">
        <v>33</v>
      </c>
      <c r="D780" t="s">
        <v>15</v>
      </c>
      <c r="E780" s="2">
        <f>Table1[[#This Row],[Quantity_Sold]] * Table1[[#This Row],[Unit_Price]] * (1 - (Table1[[#This Row],[Discount]] / 100))</f>
        <v>60981.738609999811</v>
      </c>
      <c r="F780" s="2">
        <f>Table1[[#This Row],[Quantity_Sold]] * ((Table1[[#This Row],[Unit_Price]] * (1 - (Table1[[#This Row],[Discount]] / 100))) - Table1[[#This Row],[Unit_Cost]])</f>
        <v>4695.9486099998176</v>
      </c>
      <c r="G780" s="3">
        <v>19</v>
      </c>
      <c r="H780" t="s">
        <v>29</v>
      </c>
      <c r="I780">
        <v>2962.41</v>
      </c>
      <c r="J780" s="2">
        <v>3218.8999999999901</v>
      </c>
      <c r="K780" t="s">
        <v>30</v>
      </c>
      <c r="L780" s="4">
        <v>0.28999999999999998</v>
      </c>
      <c r="M780" t="s">
        <v>18</v>
      </c>
      <c r="N780" t="s">
        <v>22</v>
      </c>
      <c r="O780" t="s">
        <v>53</v>
      </c>
    </row>
    <row r="781" spans="1:15" x14ac:dyDescent="0.25">
      <c r="A781" s="3">
        <v>1082</v>
      </c>
      <c r="B781" s="1">
        <v>45136</v>
      </c>
      <c r="C781" t="s">
        <v>38</v>
      </c>
      <c r="D781" t="s">
        <v>34</v>
      </c>
      <c r="E781" s="2">
        <f>Table1[[#This Row],[Quantity_Sold]] * Table1[[#This Row],[Unit_Price]] * (1 - (Table1[[#This Row],[Discount]] / 100))</f>
        <v>66034.801727999991</v>
      </c>
      <c r="F781" s="2">
        <f>Table1[[#This Row],[Quantity_Sold]] * ((Table1[[#This Row],[Unit_Price]] * (1 - (Table1[[#This Row],[Discount]] / 100))) - Table1[[#This Row],[Unit_Cost]])</f>
        <v>15311.061727999999</v>
      </c>
      <c r="G781" s="3">
        <v>46</v>
      </c>
      <c r="H781" t="s">
        <v>26</v>
      </c>
      <c r="I781">
        <v>1102.69</v>
      </c>
      <c r="J781" s="2">
        <v>1437.12</v>
      </c>
      <c r="K781" t="s">
        <v>30</v>
      </c>
      <c r="L781" s="4">
        <v>0.11</v>
      </c>
      <c r="M781" t="s">
        <v>31</v>
      </c>
      <c r="N781" t="s">
        <v>19</v>
      </c>
      <c r="O781" t="s">
        <v>48</v>
      </c>
    </row>
    <row r="782" spans="1:15" x14ac:dyDescent="0.25">
      <c r="A782" s="3">
        <v>1069</v>
      </c>
      <c r="B782" s="1">
        <v>45232</v>
      </c>
      <c r="C782" t="s">
        <v>33</v>
      </c>
      <c r="D782" t="s">
        <v>15</v>
      </c>
      <c r="E782" s="2">
        <f>Table1[[#This Row],[Quantity_Sold]] * Table1[[#This Row],[Unit_Price]] * (1 - (Table1[[#This Row],[Discount]] / 100))</f>
        <v>22658.196011</v>
      </c>
      <c r="F782" s="2">
        <f>Table1[[#This Row],[Quantity_Sold]] * ((Table1[[#This Row],[Unit_Price]] * (1 - (Table1[[#This Row],[Discount]] / 100))) - Table1[[#This Row],[Unit_Cost]])</f>
        <v>10462.676011</v>
      </c>
      <c r="G782" s="3">
        <v>23</v>
      </c>
      <c r="H782" t="s">
        <v>16</v>
      </c>
      <c r="I782">
        <v>530.24</v>
      </c>
      <c r="J782" s="2">
        <v>987.41</v>
      </c>
      <c r="K782" t="s">
        <v>17</v>
      </c>
      <c r="L782" s="4">
        <v>0.23</v>
      </c>
      <c r="M782" t="s">
        <v>31</v>
      </c>
      <c r="N782" t="s">
        <v>19</v>
      </c>
      <c r="O782" t="s">
        <v>53</v>
      </c>
    </row>
    <row r="783" spans="1:15" x14ac:dyDescent="0.25">
      <c r="A783" s="3">
        <v>1047</v>
      </c>
      <c r="B783" s="1">
        <v>45196</v>
      </c>
      <c r="C783" t="s">
        <v>38</v>
      </c>
      <c r="D783" t="s">
        <v>15</v>
      </c>
      <c r="E783" s="2">
        <f>Table1[[#This Row],[Quantity_Sold]] * Table1[[#This Row],[Unit_Price]] * (1 - (Table1[[#This Row],[Discount]] / 100))</f>
        <v>25739.727744</v>
      </c>
      <c r="F783" s="2">
        <f>Table1[[#This Row],[Quantity_Sold]] * ((Table1[[#This Row],[Unit_Price]] * (1 - (Table1[[#This Row],[Discount]] / 100))) - Table1[[#This Row],[Unit_Cost]])</f>
        <v>13964.367743999999</v>
      </c>
      <c r="G783" s="3">
        <v>32</v>
      </c>
      <c r="H783" t="s">
        <v>35</v>
      </c>
      <c r="I783">
        <v>367.98</v>
      </c>
      <c r="J783" s="2">
        <v>806.14</v>
      </c>
      <c r="K783" t="s">
        <v>17</v>
      </c>
      <c r="L783" s="4">
        <v>0.22</v>
      </c>
      <c r="M783" t="s">
        <v>31</v>
      </c>
      <c r="N783" t="s">
        <v>22</v>
      </c>
      <c r="O783" t="s">
        <v>40</v>
      </c>
    </row>
    <row r="784" spans="1:15" x14ac:dyDescent="0.25">
      <c r="A784" s="3">
        <v>1025</v>
      </c>
      <c r="B784" s="1">
        <v>45118</v>
      </c>
      <c r="C784" t="s">
        <v>33</v>
      </c>
      <c r="D784" t="s">
        <v>21</v>
      </c>
      <c r="E784" s="2">
        <f>Table1[[#This Row],[Quantity_Sold]] * Table1[[#This Row],[Unit_Price]] * (1 - (Table1[[#This Row],[Discount]] / 100))</f>
        <v>129239.70807999998</v>
      </c>
      <c r="F784" s="2">
        <f>Table1[[#This Row],[Quantity_Sold]] * ((Table1[[#This Row],[Unit_Price]] * (1 - (Table1[[#This Row],[Discount]] / 100))) - Table1[[#This Row],[Unit_Cost]])</f>
        <v>9885.7080799999858</v>
      </c>
      <c r="G784" s="3">
        <v>40</v>
      </c>
      <c r="H784" t="s">
        <v>35</v>
      </c>
      <c r="I784">
        <v>2983.85</v>
      </c>
      <c r="J784" s="2">
        <v>3239.74</v>
      </c>
      <c r="K784" t="s">
        <v>30</v>
      </c>
      <c r="L784" s="4">
        <v>0.27</v>
      </c>
      <c r="M784" t="s">
        <v>31</v>
      </c>
      <c r="N784" t="s">
        <v>19</v>
      </c>
      <c r="O784" t="s">
        <v>37</v>
      </c>
    </row>
    <row r="785" spans="1:15" x14ac:dyDescent="0.25">
      <c r="A785" s="3">
        <v>1066</v>
      </c>
      <c r="B785" s="1">
        <v>45101</v>
      </c>
      <c r="C785" t="s">
        <v>14</v>
      </c>
      <c r="D785" t="s">
        <v>21</v>
      </c>
      <c r="E785" s="2">
        <f>Table1[[#This Row],[Quantity_Sold]] * Table1[[#This Row],[Unit_Price]] * (1 - (Table1[[#This Row],[Discount]] / 100))</f>
        <v>56585.153547000002</v>
      </c>
      <c r="F785" s="2">
        <f>Table1[[#This Row],[Quantity_Sold]] * ((Table1[[#This Row],[Unit_Price]] * (1 - (Table1[[#This Row],[Discount]] / 100))) - Table1[[#This Row],[Unit_Cost]])</f>
        <v>2844.1935469999989</v>
      </c>
      <c r="G785" s="3">
        <v>13</v>
      </c>
      <c r="H785" t="s">
        <v>16</v>
      </c>
      <c r="I785">
        <v>4133.92</v>
      </c>
      <c r="J785" s="2">
        <v>4358.37</v>
      </c>
      <c r="K785" t="s">
        <v>30</v>
      </c>
      <c r="L785" s="4">
        <v>0.13</v>
      </c>
      <c r="M785" t="s">
        <v>18</v>
      </c>
      <c r="N785" t="s">
        <v>22</v>
      </c>
      <c r="O785" t="s">
        <v>23</v>
      </c>
    </row>
    <row r="786" spans="1:15" x14ac:dyDescent="0.25">
      <c r="A786" s="3">
        <v>1010</v>
      </c>
      <c r="B786" s="1">
        <v>45211</v>
      </c>
      <c r="C786" t="s">
        <v>33</v>
      </c>
      <c r="D786" t="s">
        <v>15</v>
      </c>
      <c r="E786" s="2">
        <f>Table1[[#This Row],[Quantity_Sold]] * Table1[[#This Row],[Unit_Price]] * (1 - (Table1[[#This Row],[Discount]] / 100))</f>
        <v>89360.593919999985</v>
      </c>
      <c r="F786" s="2">
        <f>Table1[[#This Row],[Quantity_Sold]] * ((Table1[[#This Row],[Unit_Price]] * (1 - (Table1[[#This Row],[Discount]] / 100))) - Table1[[#This Row],[Unit_Cost]])</f>
        <v>3385.7939199999964</v>
      </c>
      <c r="G786" s="3">
        <v>20</v>
      </c>
      <c r="H786" t="s">
        <v>16</v>
      </c>
      <c r="I786">
        <v>4298.74</v>
      </c>
      <c r="J786" s="2">
        <v>4475.1899999999996</v>
      </c>
      <c r="K786" t="s">
        <v>17</v>
      </c>
      <c r="L786" s="4">
        <v>0.16</v>
      </c>
      <c r="M786" t="s">
        <v>18</v>
      </c>
      <c r="N786" t="s">
        <v>19</v>
      </c>
      <c r="O786" t="s">
        <v>53</v>
      </c>
    </row>
    <row r="787" spans="1:15" x14ac:dyDescent="0.25">
      <c r="A787" s="3">
        <v>1056</v>
      </c>
      <c r="B787" s="1">
        <v>45130</v>
      </c>
      <c r="C787" t="s">
        <v>14</v>
      </c>
      <c r="D787" t="s">
        <v>21</v>
      </c>
      <c r="E787" s="2">
        <f>Table1[[#This Row],[Quantity_Sold]] * Table1[[#This Row],[Unit_Price]] * (1 - (Table1[[#This Row],[Discount]] / 100))</f>
        <v>94640.045500000007</v>
      </c>
      <c r="F787" s="2">
        <f>Table1[[#This Row],[Quantity_Sold]] * ((Table1[[#This Row],[Unit_Price]] * (1 - (Table1[[#This Row],[Discount]] / 100))) - Table1[[#This Row],[Unit_Cost]])</f>
        <v>12567.495500000003</v>
      </c>
      <c r="G787" s="3">
        <v>35</v>
      </c>
      <c r="H787" t="s">
        <v>16</v>
      </c>
      <c r="I787">
        <v>2344.9299999999998</v>
      </c>
      <c r="J787" s="2">
        <v>2707.25</v>
      </c>
      <c r="K787" t="s">
        <v>30</v>
      </c>
      <c r="L787" s="4">
        <v>0.12</v>
      </c>
      <c r="M787" t="s">
        <v>31</v>
      </c>
      <c r="N787" t="s">
        <v>22</v>
      </c>
      <c r="O787" t="s">
        <v>23</v>
      </c>
    </row>
    <row r="788" spans="1:15" x14ac:dyDescent="0.25">
      <c r="A788" s="3">
        <v>1030</v>
      </c>
      <c r="B788" s="1">
        <v>45090</v>
      </c>
      <c r="C788" t="s">
        <v>33</v>
      </c>
      <c r="D788" t="s">
        <v>21</v>
      </c>
      <c r="E788" s="2">
        <f>Table1[[#This Row],[Quantity_Sold]] * Table1[[#This Row],[Unit_Price]] * (1 - (Table1[[#This Row],[Discount]] / 100))</f>
        <v>20360.724119999952</v>
      </c>
      <c r="F788" s="2">
        <f>Table1[[#This Row],[Quantity_Sold]] * ((Table1[[#This Row],[Unit_Price]] * (1 - (Table1[[#This Row],[Discount]] / 100))) - Table1[[#This Row],[Unit_Cost]])</f>
        <v>700.02411999995047</v>
      </c>
      <c r="G788" s="3">
        <v>5</v>
      </c>
      <c r="H788" t="s">
        <v>29</v>
      </c>
      <c r="I788">
        <v>3932.14</v>
      </c>
      <c r="J788" s="2">
        <v>4082.7599999999902</v>
      </c>
      <c r="K788" t="s">
        <v>30</v>
      </c>
      <c r="L788" s="4">
        <v>0.26</v>
      </c>
      <c r="M788" t="s">
        <v>31</v>
      </c>
      <c r="N788" t="s">
        <v>19</v>
      </c>
      <c r="O788" t="s">
        <v>37</v>
      </c>
    </row>
    <row r="789" spans="1:15" x14ac:dyDescent="0.25">
      <c r="A789" s="3">
        <v>1005</v>
      </c>
      <c r="B789" s="1">
        <v>45177</v>
      </c>
      <c r="C789" t="s">
        <v>38</v>
      </c>
      <c r="D789" t="s">
        <v>15</v>
      </c>
      <c r="E789" s="2">
        <f>Table1[[#This Row],[Quantity_Sold]] * Table1[[#This Row],[Unit_Price]] * (1 - (Table1[[#This Row],[Discount]] / 100))</f>
        <v>43794.82215</v>
      </c>
      <c r="F789" s="2">
        <f>Table1[[#This Row],[Quantity_Sold]] * ((Table1[[#This Row],[Unit_Price]] * (1 - (Table1[[#This Row],[Discount]] / 100))) - Table1[[#This Row],[Unit_Cost]])</f>
        <v>1161.2821499999936</v>
      </c>
      <c r="G789" s="3">
        <v>9</v>
      </c>
      <c r="H789" t="s">
        <v>35</v>
      </c>
      <c r="I789">
        <v>4737.0600000000004</v>
      </c>
      <c r="J789" s="2">
        <v>4869.5</v>
      </c>
      <c r="K789" t="s">
        <v>30</v>
      </c>
      <c r="L789" s="4">
        <v>7.0000000000000007E-2</v>
      </c>
      <c r="M789" t="s">
        <v>18</v>
      </c>
      <c r="N789" t="s">
        <v>19</v>
      </c>
      <c r="O789" t="s">
        <v>40</v>
      </c>
    </row>
    <row r="790" spans="1:15" x14ac:dyDescent="0.25">
      <c r="A790" s="3">
        <v>1033</v>
      </c>
      <c r="B790" s="1">
        <v>45153</v>
      </c>
      <c r="C790" t="s">
        <v>38</v>
      </c>
      <c r="D790" t="s">
        <v>34</v>
      </c>
      <c r="E790" s="2">
        <f>Table1[[#This Row],[Quantity_Sold]] * Table1[[#This Row],[Unit_Price]] * (1 - (Table1[[#This Row],[Discount]] / 100))</f>
        <v>46270.438004999713</v>
      </c>
      <c r="F790" s="2">
        <f>Table1[[#This Row],[Quantity_Sold]] * ((Table1[[#This Row],[Unit_Price]] * (1 - (Table1[[#This Row],[Discount]] / 100))) - Table1[[#This Row],[Unit_Cost]])</f>
        <v>5319.8280049997147</v>
      </c>
      <c r="G790" s="3">
        <v>29</v>
      </c>
      <c r="H790" t="s">
        <v>29</v>
      </c>
      <c r="I790">
        <v>1412.09</v>
      </c>
      <c r="J790" s="2">
        <v>1596.6499999999901</v>
      </c>
      <c r="K790" t="s">
        <v>17</v>
      </c>
      <c r="L790" s="4">
        <v>7.0000000000000007E-2</v>
      </c>
      <c r="M790" t="s">
        <v>18</v>
      </c>
      <c r="N790" t="s">
        <v>19</v>
      </c>
      <c r="O790" t="s">
        <v>48</v>
      </c>
    </row>
    <row r="791" spans="1:15" x14ac:dyDescent="0.25">
      <c r="A791" s="3">
        <v>1065</v>
      </c>
      <c r="B791" s="1">
        <v>44933</v>
      </c>
      <c r="C791" t="s">
        <v>38</v>
      </c>
      <c r="D791" t="s">
        <v>15</v>
      </c>
      <c r="E791" s="2">
        <f>Table1[[#This Row],[Quantity_Sold]] * Table1[[#This Row],[Unit_Price]] * (1 - (Table1[[#This Row],[Discount]] / 100))</f>
        <v>12686.469515999999</v>
      </c>
      <c r="F791" s="2">
        <f>Table1[[#This Row],[Quantity_Sold]] * ((Table1[[#This Row],[Unit_Price]] * (1 - (Table1[[#This Row],[Discount]] / 100))) - Table1[[#This Row],[Unit_Cost]])</f>
        <v>567.06951599999775</v>
      </c>
      <c r="G791" s="3">
        <v>6</v>
      </c>
      <c r="H791" t="s">
        <v>29</v>
      </c>
      <c r="I791">
        <v>2019.9</v>
      </c>
      <c r="J791" s="2">
        <v>2116.7399999999998</v>
      </c>
      <c r="K791" t="s">
        <v>30</v>
      </c>
      <c r="L791" s="4">
        <v>0.11</v>
      </c>
      <c r="M791" t="s">
        <v>31</v>
      </c>
      <c r="N791" t="s">
        <v>19</v>
      </c>
      <c r="O791" t="s">
        <v>40</v>
      </c>
    </row>
    <row r="792" spans="1:15" x14ac:dyDescent="0.25">
      <c r="A792" s="3">
        <v>1018</v>
      </c>
      <c r="B792" s="1">
        <v>44955</v>
      </c>
      <c r="C792" t="s">
        <v>24</v>
      </c>
      <c r="D792" t="s">
        <v>21</v>
      </c>
      <c r="E792" s="2">
        <f>Table1[[#This Row],[Quantity_Sold]] * Table1[[#This Row],[Unit_Price]] * (1 - (Table1[[#This Row],[Discount]] / 100))</f>
        <v>125198.04997499975</v>
      </c>
      <c r="F792" s="2">
        <f>Table1[[#This Row],[Quantity_Sold]] * ((Table1[[#This Row],[Unit_Price]] * (1 - (Table1[[#This Row],[Discount]] / 100))) - Table1[[#This Row],[Unit_Cost]])</f>
        <v>8677.5499749997616</v>
      </c>
      <c r="G792" s="3">
        <v>25</v>
      </c>
      <c r="H792" t="s">
        <v>26</v>
      </c>
      <c r="I792">
        <v>4660.82</v>
      </c>
      <c r="J792" s="2">
        <v>5011.4299999999903</v>
      </c>
      <c r="K792" t="s">
        <v>30</v>
      </c>
      <c r="L792" s="4">
        <v>7.0000000000000007E-2</v>
      </c>
      <c r="M792" t="s">
        <v>27</v>
      </c>
      <c r="N792" t="s">
        <v>19</v>
      </c>
      <c r="O792" t="s">
        <v>47</v>
      </c>
    </row>
    <row r="793" spans="1:15" x14ac:dyDescent="0.25">
      <c r="A793" s="3">
        <v>1096</v>
      </c>
      <c r="B793" s="1">
        <v>44959</v>
      </c>
      <c r="C793" t="s">
        <v>42</v>
      </c>
      <c r="D793" t="s">
        <v>34</v>
      </c>
      <c r="E793" s="2">
        <f>Table1[[#This Row],[Quantity_Sold]] * Table1[[#This Row],[Unit_Price]] * (1 - (Table1[[#This Row],[Discount]] / 100))</f>
        <v>63014.892260000001</v>
      </c>
      <c r="F793" s="2">
        <f>Table1[[#This Row],[Quantity_Sold]] * ((Table1[[#This Row],[Unit_Price]] * (1 - (Table1[[#This Row],[Discount]] / 100))) - Table1[[#This Row],[Unit_Cost]])</f>
        <v>9563.45226</v>
      </c>
      <c r="G793" s="3">
        <v>31</v>
      </c>
      <c r="H793" t="s">
        <v>35</v>
      </c>
      <c r="I793">
        <v>1724.24</v>
      </c>
      <c r="J793" s="2">
        <v>2036.2</v>
      </c>
      <c r="K793" t="s">
        <v>30</v>
      </c>
      <c r="L793" s="4">
        <v>0.17</v>
      </c>
      <c r="M793" t="s">
        <v>18</v>
      </c>
      <c r="N793" t="s">
        <v>19</v>
      </c>
      <c r="O793" t="s">
        <v>52</v>
      </c>
    </row>
    <row r="794" spans="1:15" x14ac:dyDescent="0.25">
      <c r="A794" s="3">
        <v>1049</v>
      </c>
      <c r="B794" s="1">
        <v>45060</v>
      </c>
      <c r="C794" t="s">
        <v>38</v>
      </c>
      <c r="D794" t="s">
        <v>25</v>
      </c>
      <c r="E794" s="2">
        <f>Table1[[#This Row],[Quantity_Sold]] * Table1[[#This Row],[Unit_Price]] * (1 - (Table1[[#This Row],[Discount]] / 100))</f>
        <v>106004.1813599998</v>
      </c>
      <c r="F794" s="2">
        <f>Table1[[#This Row],[Quantity_Sold]] * ((Table1[[#This Row],[Unit_Price]] * (1 - (Table1[[#This Row],[Discount]] / 100))) - Table1[[#This Row],[Unit_Cost]])</f>
        <v>5383.0013599998019</v>
      </c>
      <c r="G794" s="3">
        <v>22</v>
      </c>
      <c r="H794" t="s">
        <v>35</v>
      </c>
      <c r="I794">
        <v>4573.6899999999996</v>
      </c>
      <c r="J794" s="2">
        <v>4820.2999999999902</v>
      </c>
      <c r="K794" t="s">
        <v>30</v>
      </c>
      <c r="L794" s="4">
        <v>0.04</v>
      </c>
      <c r="M794" t="s">
        <v>18</v>
      </c>
      <c r="N794" t="s">
        <v>19</v>
      </c>
      <c r="O794" t="s">
        <v>39</v>
      </c>
    </row>
    <row r="795" spans="1:15" x14ac:dyDescent="0.25">
      <c r="A795" s="3">
        <v>1011</v>
      </c>
      <c r="B795" s="1">
        <v>45005</v>
      </c>
      <c r="C795" t="s">
        <v>14</v>
      </c>
      <c r="D795" t="s">
        <v>34</v>
      </c>
      <c r="E795" s="2">
        <f>Table1[[#This Row],[Quantity_Sold]] * Table1[[#This Row],[Unit_Price]] * (1 - (Table1[[#This Row],[Discount]] / 100))</f>
        <v>10204.645140000001</v>
      </c>
      <c r="F795" s="2">
        <f>Table1[[#This Row],[Quantity_Sold]] * ((Table1[[#This Row],[Unit_Price]] * (1 - (Table1[[#This Row],[Discount]] / 100))) - Table1[[#This Row],[Unit_Cost]])</f>
        <v>392.30514000000039</v>
      </c>
      <c r="G795" s="3">
        <v>2</v>
      </c>
      <c r="H795" t="s">
        <v>16</v>
      </c>
      <c r="I795">
        <v>4906.17</v>
      </c>
      <c r="J795" s="2">
        <v>5107.43</v>
      </c>
      <c r="K795" t="s">
        <v>17</v>
      </c>
      <c r="L795" s="4">
        <v>0.1</v>
      </c>
      <c r="M795" t="s">
        <v>18</v>
      </c>
      <c r="N795" t="s">
        <v>19</v>
      </c>
      <c r="O795" t="s">
        <v>46</v>
      </c>
    </row>
    <row r="796" spans="1:15" x14ac:dyDescent="0.25">
      <c r="A796" s="3">
        <v>1085</v>
      </c>
      <c r="B796" s="1">
        <v>44984</v>
      </c>
      <c r="C796" t="s">
        <v>38</v>
      </c>
      <c r="D796" t="s">
        <v>21</v>
      </c>
      <c r="E796" s="2">
        <f>Table1[[#This Row],[Quantity_Sold]] * Table1[[#This Row],[Unit_Price]] * (1 - (Table1[[#This Row],[Discount]] / 100))</f>
        <v>169703.55989999999</v>
      </c>
      <c r="F796" s="2">
        <f>Table1[[#This Row],[Quantity_Sold]] * ((Table1[[#This Row],[Unit_Price]] * (1 - (Table1[[#This Row],[Discount]] / 100))) - Table1[[#This Row],[Unit_Cost]])</f>
        <v>20035.359899999996</v>
      </c>
      <c r="G796" s="3">
        <v>45</v>
      </c>
      <c r="H796" t="s">
        <v>16</v>
      </c>
      <c r="I796">
        <v>3325.96</v>
      </c>
      <c r="J796" s="2">
        <v>3781.4</v>
      </c>
      <c r="K796" t="s">
        <v>17</v>
      </c>
      <c r="L796" s="4">
        <v>0.27</v>
      </c>
      <c r="M796" t="s">
        <v>31</v>
      </c>
      <c r="N796" t="s">
        <v>19</v>
      </c>
      <c r="O796" t="s">
        <v>41</v>
      </c>
    </row>
    <row r="797" spans="1:15" x14ac:dyDescent="0.25">
      <c r="A797" s="3">
        <v>1026</v>
      </c>
      <c r="B797" s="1">
        <v>44952</v>
      </c>
      <c r="C797" t="s">
        <v>24</v>
      </c>
      <c r="D797" t="s">
        <v>34</v>
      </c>
      <c r="E797" s="2">
        <f>Table1[[#This Row],[Quantity_Sold]] * Table1[[#This Row],[Unit_Price]] * (1 - (Table1[[#This Row],[Discount]] / 100))</f>
        <v>20564.692720000003</v>
      </c>
      <c r="F797" s="2">
        <f>Table1[[#This Row],[Quantity_Sold]] * ((Table1[[#This Row],[Unit_Price]] * (1 - (Table1[[#This Row],[Discount]] / 100))) - Table1[[#This Row],[Unit_Cost]])</f>
        <v>96.6427200000021</v>
      </c>
      <c r="G797" s="3">
        <v>5</v>
      </c>
      <c r="H797" t="s">
        <v>26</v>
      </c>
      <c r="I797">
        <v>4093.61</v>
      </c>
      <c r="J797" s="2">
        <v>4117.88</v>
      </c>
      <c r="K797" t="s">
        <v>17</v>
      </c>
      <c r="L797" s="4">
        <v>0.12</v>
      </c>
      <c r="M797" t="s">
        <v>31</v>
      </c>
      <c r="N797" t="s">
        <v>22</v>
      </c>
      <c r="O797" t="s">
        <v>50</v>
      </c>
    </row>
    <row r="798" spans="1:15" x14ac:dyDescent="0.25">
      <c r="A798" s="3">
        <v>1063</v>
      </c>
      <c r="B798" s="1">
        <v>45152</v>
      </c>
      <c r="C798" t="s">
        <v>14</v>
      </c>
      <c r="D798" t="s">
        <v>15</v>
      </c>
      <c r="E798" s="2">
        <f>Table1[[#This Row],[Quantity_Sold]] * Table1[[#This Row],[Unit_Price]] * (1 - (Table1[[#This Row],[Discount]] / 100))</f>
        <v>111725.63166599999</v>
      </c>
      <c r="F798" s="2">
        <f>Table1[[#This Row],[Quantity_Sold]] * ((Table1[[#This Row],[Unit_Price]] * (1 - (Table1[[#This Row],[Discount]] / 100))) - Table1[[#This Row],[Unit_Cost]])</f>
        <v>10198.881666000003</v>
      </c>
      <c r="G798" s="3">
        <v>27</v>
      </c>
      <c r="H798" t="s">
        <v>29</v>
      </c>
      <c r="I798">
        <v>3760.25</v>
      </c>
      <c r="J798" s="2">
        <v>4147.1099999999997</v>
      </c>
      <c r="K798" t="s">
        <v>30</v>
      </c>
      <c r="L798" s="4">
        <v>0.22</v>
      </c>
      <c r="M798" t="s">
        <v>18</v>
      </c>
      <c r="N798" t="s">
        <v>19</v>
      </c>
      <c r="O798" t="s">
        <v>20</v>
      </c>
    </row>
    <row r="799" spans="1:15" x14ac:dyDescent="0.25">
      <c r="A799" s="3">
        <v>1089</v>
      </c>
      <c r="B799" s="1">
        <v>45211</v>
      </c>
      <c r="C799" t="s">
        <v>24</v>
      </c>
      <c r="D799" t="s">
        <v>25</v>
      </c>
      <c r="E799" s="2">
        <f>Table1[[#This Row],[Quantity_Sold]] * Table1[[#This Row],[Unit_Price]] * (1 - (Table1[[#This Row],[Discount]] / 100))</f>
        <v>99086.015274999998</v>
      </c>
      <c r="F799" s="2">
        <f>Table1[[#This Row],[Quantity_Sold]] * ((Table1[[#This Row],[Unit_Price]] * (1 - (Table1[[#This Row],[Discount]] / 100))) - Table1[[#This Row],[Unit_Cost]])</f>
        <v>11268.765275000009</v>
      </c>
      <c r="G799" s="3">
        <v>25</v>
      </c>
      <c r="H799" t="s">
        <v>16</v>
      </c>
      <c r="I799">
        <v>3512.69</v>
      </c>
      <c r="J799" s="2">
        <v>3964.63</v>
      </c>
      <c r="K799" t="s">
        <v>17</v>
      </c>
      <c r="L799" s="4">
        <v>0.03</v>
      </c>
      <c r="M799" t="s">
        <v>31</v>
      </c>
      <c r="N799" t="s">
        <v>22</v>
      </c>
      <c r="O799" t="s">
        <v>28</v>
      </c>
    </row>
    <row r="800" spans="1:15" x14ac:dyDescent="0.25">
      <c r="A800" s="3">
        <v>1086</v>
      </c>
      <c r="B800" s="1">
        <v>44930</v>
      </c>
      <c r="C800" t="s">
        <v>14</v>
      </c>
      <c r="D800" t="s">
        <v>25</v>
      </c>
      <c r="E800" s="2">
        <f>Table1[[#This Row],[Quantity_Sold]] * Table1[[#This Row],[Unit_Price]] * (1 - (Table1[[#This Row],[Discount]] / 100))</f>
        <v>14374.091087999999</v>
      </c>
      <c r="F800" s="2">
        <f>Table1[[#This Row],[Quantity_Sold]] * ((Table1[[#This Row],[Unit_Price]] * (1 - (Table1[[#This Row],[Discount]] / 100))) - Table1[[#This Row],[Unit_Cost]])</f>
        <v>1819.6110879999997</v>
      </c>
      <c r="G800" s="3">
        <v>8</v>
      </c>
      <c r="H800" t="s">
        <v>16</v>
      </c>
      <c r="I800">
        <v>1569.31</v>
      </c>
      <c r="J800" s="2">
        <v>1798.02</v>
      </c>
      <c r="K800" t="s">
        <v>30</v>
      </c>
      <c r="L800" s="4">
        <v>7.0000000000000007E-2</v>
      </c>
      <c r="M800" t="s">
        <v>31</v>
      </c>
      <c r="N800" t="s">
        <v>19</v>
      </c>
      <c r="O800" t="s">
        <v>32</v>
      </c>
    </row>
    <row r="801" spans="1:15" x14ac:dyDescent="0.25">
      <c r="A801" s="3">
        <v>1059</v>
      </c>
      <c r="B801" s="1">
        <v>45025</v>
      </c>
      <c r="C801" t="s">
        <v>33</v>
      </c>
      <c r="D801" t="s">
        <v>25</v>
      </c>
      <c r="E801" s="2">
        <f>Table1[[#This Row],[Quantity_Sold]] * Table1[[#This Row],[Unit_Price]] * (1 - (Table1[[#This Row],[Discount]] / 100))</f>
        <v>610.99009600000011</v>
      </c>
      <c r="F801" s="2">
        <f>Table1[[#This Row],[Quantity_Sold]] * ((Table1[[#This Row],[Unit_Price]] * (1 - (Table1[[#This Row],[Discount]] / 100))) - Table1[[#This Row],[Unit_Cost]])</f>
        <v>278.3700960000001</v>
      </c>
      <c r="G801" s="3">
        <v>1</v>
      </c>
      <c r="H801" t="s">
        <v>35</v>
      </c>
      <c r="I801">
        <v>332.62</v>
      </c>
      <c r="J801" s="2">
        <v>612.46</v>
      </c>
      <c r="K801" t="s">
        <v>17</v>
      </c>
      <c r="L801" s="4">
        <v>0.24</v>
      </c>
      <c r="M801" t="s">
        <v>18</v>
      </c>
      <c r="N801" t="s">
        <v>22</v>
      </c>
      <c r="O801" t="s">
        <v>44</v>
      </c>
    </row>
    <row r="802" spans="1:15" x14ac:dyDescent="0.25">
      <c r="A802" s="3">
        <v>1027</v>
      </c>
      <c r="B802" s="1">
        <v>44965</v>
      </c>
      <c r="C802" t="s">
        <v>42</v>
      </c>
      <c r="D802" t="s">
        <v>21</v>
      </c>
      <c r="E802" s="2">
        <f>Table1[[#This Row],[Quantity_Sold]] * Table1[[#This Row],[Unit_Price]] * (1 - (Table1[[#This Row],[Discount]] / 100))</f>
        <v>44315.838600000003</v>
      </c>
      <c r="F802" s="2">
        <f>Table1[[#This Row],[Quantity_Sold]] * ((Table1[[#This Row],[Unit_Price]] * (1 - (Table1[[#This Row],[Discount]] / 100))) - Table1[[#This Row],[Unit_Cost]])</f>
        <v>9353.6386000000093</v>
      </c>
      <c r="G802" s="3">
        <v>20</v>
      </c>
      <c r="H802" t="s">
        <v>35</v>
      </c>
      <c r="I802">
        <v>1748.11</v>
      </c>
      <c r="J802" s="2">
        <v>2220.9</v>
      </c>
      <c r="K802" t="s">
        <v>30</v>
      </c>
      <c r="L802" s="4">
        <v>0.23</v>
      </c>
      <c r="M802" t="s">
        <v>31</v>
      </c>
      <c r="N802" t="s">
        <v>22</v>
      </c>
      <c r="O802" t="s">
        <v>51</v>
      </c>
    </row>
    <row r="803" spans="1:15" x14ac:dyDescent="0.25">
      <c r="A803" s="3">
        <v>1049</v>
      </c>
      <c r="B803" s="1">
        <v>45197</v>
      </c>
      <c r="C803" t="s">
        <v>42</v>
      </c>
      <c r="D803" t="s">
        <v>21</v>
      </c>
      <c r="E803" s="2">
        <f>Table1[[#This Row],[Quantity_Sold]] * Table1[[#This Row],[Unit_Price]] * (1 - (Table1[[#This Row],[Discount]] / 100))</f>
        <v>152292.42952000001</v>
      </c>
      <c r="F803" s="2">
        <f>Table1[[#This Row],[Quantity_Sold]] * ((Table1[[#This Row],[Unit_Price]] * (1 - (Table1[[#This Row],[Discount]] / 100))) - Table1[[#This Row],[Unit_Cost]])</f>
        <v>4833.9095200000102</v>
      </c>
      <c r="G803" s="3">
        <v>44</v>
      </c>
      <c r="H803" t="s">
        <v>16</v>
      </c>
      <c r="I803">
        <v>3351.33</v>
      </c>
      <c r="J803" s="2">
        <v>3465.35</v>
      </c>
      <c r="K803" t="s">
        <v>17</v>
      </c>
      <c r="L803" s="4">
        <v>0.12</v>
      </c>
      <c r="M803" t="s">
        <v>27</v>
      </c>
      <c r="N803" t="s">
        <v>19</v>
      </c>
      <c r="O803" t="s">
        <v>51</v>
      </c>
    </row>
    <row r="804" spans="1:15" x14ac:dyDescent="0.25">
      <c r="A804" s="3">
        <v>1077</v>
      </c>
      <c r="B804" s="1">
        <v>45211</v>
      </c>
      <c r="C804" t="s">
        <v>24</v>
      </c>
      <c r="D804" t="s">
        <v>25</v>
      </c>
      <c r="E804" s="2">
        <f>Table1[[#This Row],[Quantity_Sold]] * Table1[[#This Row],[Unit_Price]] * (1 - (Table1[[#This Row],[Discount]] / 100))</f>
        <v>18860.116587</v>
      </c>
      <c r="F804" s="2">
        <f>Table1[[#This Row],[Quantity_Sold]] * ((Table1[[#This Row],[Unit_Price]] * (1 - (Table1[[#This Row],[Discount]] / 100))) - Table1[[#This Row],[Unit_Cost]])</f>
        <v>6037.1565869999986</v>
      </c>
      <c r="G804" s="3">
        <v>23</v>
      </c>
      <c r="H804" t="s">
        <v>35</v>
      </c>
      <c r="I804">
        <v>557.52</v>
      </c>
      <c r="J804" s="2">
        <v>822.39</v>
      </c>
      <c r="K804" t="s">
        <v>17</v>
      </c>
      <c r="L804" s="4">
        <v>0.28999999999999998</v>
      </c>
      <c r="M804" t="s">
        <v>31</v>
      </c>
      <c r="N804" t="s">
        <v>19</v>
      </c>
      <c r="O804" t="s">
        <v>28</v>
      </c>
    </row>
    <row r="805" spans="1:15" x14ac:dyDescent="0.25">
      <c r="A805" s="3">
        <v>1033</v>
      </c>
      <c r="B805" s="1">
        <v>45083</v>
      </c>
      <c r="C805" t="s">
        <v>42</v>
      </c>
      <c r="D805" t="s">
        <v>34</v>
      </c>
      <c r="E805" s="2">
        <f>Table1[[#This Row],[Quantity_Sold]] * Table1[[#This Row],[Unit_Price]] * (1 - (Table1[[#This Row],[Discount]] / 100))</f>
        <v>11220.821760000001</v>
      </c>
      <c r="F805" s="2">
        <f>Table1[[#This Row],[Quantity_Sold]] * ((Table1[[#This Row],[Unit_Price]] * (1 - (Table1[[#This Row],[Discount]] / 100))) - Table1[[#This Row],[Unit_Cost]])</f>
        <v>7733.1417600000004</v>
      </c>
      <c r="G805" s="3">
        <v>32</v>
      </c>
      <c r="H805" t="s">
        <v>26</v>
      </c>
      <c r="I805">
        <v>108.99</v>
      </c>
      <c r="J805" s="2">
        <v>351.6</v>
      </c>
      <c r="K805" t="s">
        <v>17</v>
      </c>
      <c r="L805" s="4">
        <v>0.27</v>
      </c>
      <c r="M805" t="s">
        <v>31</v>
      </c>
      <c r="N805" t="s">
        <v>22</v>
      </c>
      <c r="O805" t="s">
        <v>52</v>
      </c>
    </row>
    <row r="806" spans="1:15" x14ac:dyDescent="0.25">
      <c r="A806" s="3">
        <v>1098</v>
      </c>
      <c r="B806" s="1">
        <v>45001</v>
      </c>
      <c r="C806" t="s">
        <v>24</v>
      </c>
      <c r="D806" t="s">
        <v>25</v>
      </c>
      <c r="E806" s="2">
        <f>Table1[[#This Row],[Quantity_Sold]] * Table1[[#This Row],[Unit_Price]] * (1 - (Table1[[#This Row],[Discount]] / 100))</f>
        <v>9630.978928999999</v>
      </c>
      <c r="F806" s="2">
        <f>Table1[[#This Row],[Quantity_Sold]] * ((Table1[[#This Row],[Unit_Price]] * (1 - (Table1[[#This Row],[Discount]] / 100))) - Table1[[#This Row],[Unit_Cost]])</f>
        <v>1474.6989289999999</v>
      </c>
      <c r="G806" s="3">
        <v>11</v>
      </c>
      <c r="H806" t="s">
        <v>16</v>
      </c>
      <c r="I806">
        <v>741.48</v>
      </c>
      <c r="J806" s="2">
        <v>878.09</v>
      </c>
      <c r="K806" t="s">
        <v>30</v>
      </c>
      <c r="L806" s="4">
        <v>0.28999999999999998</v>
      </c>
      <c r="M806" t="s">
        <v>18</v>
      </c>
      <c r="N806" t="s">
        <v>22</v>
      </c>
      <c r="O806" t="s">
        <v>28</v>
      </c>
    </row>
    <row r="807" spans="1:15" x14ac:dyDescent="0.25">
      <c r="A807" s="3">
        <v>1099</v>
      </c>
      <c r="B807" s="1">
        <v>45214</v>
      </c>
      <c r="C807" t="s">
        <v>24</v>
      </c>
      <c r="D807" t="s">
        <v>34</v>
      </c>
      <c r="E807" s="2">
        <f>Table1[[#This Row],[Quantity_Sold]] * Table1[[#This Row],[Unit_Price]] * (1 - (Table1[[#This Row],[Discount]] / 100))</f>
        <v>155952.99720000001</v>
      </c>
      <c r="F807" s="2">
        <f>Table1[[#This Row],[Quantity_Sold]] * ((Table1[[#This Row],[Unit_Price]] * (1 - (Table1[[#This Row],[Discount]] / 100))) - Table1[[#This Row],[Unit_Cost]])</f>
        <v>15830.28720000001</v>
      </c>
      <c r="G807" s="3">
        <v>39</v>
      </c>
      <c r="H807" t="s">
        <v>35</v>
      </c>
      <c r="I807">
        <v>3592.89</v>
      </c>
      <c r="J807" s="2">
        <v>4004</v>
      </c>
      <c r="K807" t="s">
        <v>30</v>
      </c>
      <c r="L807" s="4">
        <v>0.13</v>
      </c>
      <c r="M807" t="s">
        <v>18</v>
      </c>
      <c r="N807" t="s">
        <v>19</v>
      </c>
      <c r="O807" t="s">
        <v>50</v>
      </c>
    </row>
    <row r="808" spans="1:15" x14ac:dyDescent="0.25">
      <c r="A808" s="3">
        <v>1001</v>
      </c>
      <c r="B808" s="1">
        <v>45056</v>
      </c>
      <c r="C808" t="s">
        <v>24</v>
      </c>
      <c r="D808" t="s">
        <v>34</v>
      </c>
      <c r="E808" s="2">
        <f>Table1[[#This Row],[Quantity_Sold]] * Table1[[#This Row],[Unit_Price]] * (1 - (Table1[[#This Row],[Discount]] / 100))</f>
        <v>249708.19513400001</v>
      </c>
      <c r="F808" s="2">
        <f>Table1[[#This Row],[Quantity_Sold]] * ((Table1[[#This Row],[Unit_Price]] * (1 - (Table1[[#This Row],[Discount]] / 100))) - Table1[[#This Row],[Unit_Cost]])</f>
        <v>21037.685133999978</v>
      </c>
      <c r="G808" s="3">
        <v>47</v>
      </c>
      <c r="H808" t="s">
        <v>26</v>
      </c>
      <c r="I808">
        <v>4865.33</v>
      </c>
      <c r="J808" s="2">
        <v>5316.13</v>
      </c>
      <c r="K808" t="s">
        <v>30</v>
      </c>
      <c r="L808" s="4">
        <v>0.06</v>
      </c>
      <c r="M808" t="s">
        <v>27</v>
      </c>
      <c r="N808" t="s">
        <v>19</v>
      </c>
      <c r="O808" t="s">
        <v>50</v>
      </c>
    </row>
    <row r="809" spans="1:15" x14ac:dyDescent="0.25">
      <c r="A809" s="3">
        <v>1021</v>
      </c>
      <c r="B809" s="1">
        <v>45101</v>
      </c>
      <c r="C809" t="s">
        <v>42</v>
      </c>
      <c r="D809" t="s">
        <v>21</v>
      </c>
      <c r="E809" s="2">
        <f>Table1[[#This Row],[Quantity_Sold]] * Table1[[#This Row],[Unit_Price]] * (1 - (Table1[[#This Row],[Discount]] / 100))</f>
        <v>127181.57500799999</v>
      </c>
      <c r="F809" s="2">
        <f>Table1[[#This Row],[Quantity_Sold]] * ((Table1[[#This Row],[Unit_Price]] * (1 - (Table1[[#This Row],[Discount]] / 100))) - Table1[[#This Row],[Unit_Cost]])</f>
        <v>9193.4950079999908</v>
      </c>
      <c r="G809" s="3">
        <v>24</v>
      </c>
      <c r="H809" t="s">
        <v>35</v>
      </c>
      <c r="I809">
        <v>4916.17</v>
      </c>
      <c r="J809" s="2">
        <v>5309.32</v>
      </c>
      <c r="K809" t="s">
        <v>17</v>
      </c>
      <c r="L809" s="4">
        <v>0.19</v>
      </c>
      <c r="M809" t="s">
        <v>31</v>
      </c>
      <c r="N809" t="s">
        <v>19</v>
      </c>
      <c r="O809" t="s">
        <v>51</v>
      </c>
    </row>
    <row r="810" spans="1:15" x14ac:dyDescent="0.25">
      <c r="A810" s="3">
        <v>1055</v>
      </c>
      <c r="B810" s="1">
        <v>45010</v>
      </c>
      <c r="C810" t="s">
        <v>24</v>
      </c>
      <c r="D810" t="s">
        <v>34</v>
      </c>
      <c r="E810" s="2">
        <f>Table1[[#This Row],[Quantity_Sold]] * Table1[[#This Row],[Unit_Price]] * (1 - (Table1[[#This Row],[Discount]] / 100))</f>
        <v>28550.148517000001</v>
      </c>
      <c r="F810" s="2">
        <f>Table1[[#This Row],[Quantity_Sold]] * ((Table1[[#This Row],[Unit_Price]] * (1 - (Table1[[#This Row],[Discount]] / 100))) - Table1[[#This Row],[Unit_Cost]])</f>
        <v>1102.9485170000003</v>
      </c>
      <c r="G810" s="3">
        <v>11</v>
      </c>
      <c r="H810" t="s">
        <v>35</v>
      </c>
      <c r="I810">
        <v>2495.1999999999998</v>
      </c>
      <c r="J810" s="2">
        <v>2600.9299999999998</v>
      </c>
      <c r="K810" t="s">
        <v>30</v>
      </c>
      <c r="L810" s="4">
        <v>0.21</v>
      </c>
      <c r="M810" t="s">
        <v>27</v>
      </c>
      <c r="N810" t="s">
        <v>22</v>
      </c>
      <c r="O810" t="s">
        <v>50</v>
      </c>
    </row>
    <row r="811" spans="1:15" x14ac:dyDescent="0.25">
      <c r="A811" s="3">
        <v>1006</v>
      </c>
      <c r="B811" s="1">
        <v>44948</v>
      </c>
      <c r="C811" t="s">
        <v>42</v>
      </c>
      <c r="D811" t="s">
        <v>25</v>
      </c>
      <c r="E811" s="2">
        <f>Table1[[#This Row],[Quantity_Sold]] * Table1[[#This Row],[Unit_Price]] * (1 - (Table1[[#This Row],[Discount]] / 100))</f>
        <v>127717.09272000002</v>
      </c>
      <c r="F811" s="2">
        <f>Table1[[#This Row],[Quantity_Sold]] * ((Table1[[#This Row],[Unit_Price]] * (1 - (Table1[[#This Row],[Discount]] / 100))) - Table1[[#This Row],[Unit_Cost]])</f>
        <v>1471.6827200000116</v>
      </c>
      <c r="G811" s="3">
        <v>29</v>
      </c>
      <c r="H811" t="s">
        <v>35</v>
      </c>
      <c r="I811">
        <v>4353.29</v>
      </c>
      <c r="J811" s="2">
        <v>4405.8</v>
      </c>
      <c r="K811" t="s">
        <v>30</v>
      </c>
      <c r="L811" s="4">
        <v>0.04</v>
      </c>
      <c r="M811" t="s">
        <v>27</v>
      </c>
      <c r="N811" t="s">
        <v>19</v>
      </c>
      <c r="O811" t="s">
        <v>43</v>
      </c>
    </row>
    <row r="812" spans="1:15" x14ac:dyDescent="0.25">
      <c r="A812" s="3">
        <v>1092</v>
      </c>
      <c r="B812" s="1">
        <v>44953</v>
      </c>
      <c r="C812" t="s">
        <v>24</v>
      </c>
      <c r="D812" t="s">
        <v>21</v>
      </c>
      <c r="E812" s="2">
        <f>Table1[[#This Row],[Quantity_Sold]] * Table1[[#This Row],[Unit_Price]] * (1 - (Table1[[#This Row],[Discount]] / 100))</f>
        <v>103853.11289600001</v>
      </c>
      <c r="F812" s="2">
        <f>Table1[[#This Row],[Quantity_Sold]] * ((Table1[[#This Row],[Unit_Price]] * (1 - (Table1[[#This Row],[Discount]] / 100))) - Table1[[#This Row],[Unit_Cost]])</f>
        <v>7723.5728960000015</v>
      </c>
      <c r="G812" s="3">
        <v>26</v>
      </c>
      <c r="H812" t="s">
        <v>16</v>
      </c>
      <c r="I812">
        <v>3697.29</v>
      </c>
      <c r="J812" s="2">
        <v>4003.96</v>
      </c>
      <c r="K812" t="s">
        <v>30</v>
      </c>
      <c r="L812" s="4">
        <v>0.24</v>
      </c>
      <c r="M812" t="s">
        <v>18</v>
      </c>
      <c r="N812" t="s">
        <v>19</v>
      </c>
      <c r="O812" t="s">
        <v>47</v>
      </c>
    </row>
    <row r="813" spans="1:15" x14ac:dyDescent="0.25">
      <c r="A813" s="3">
        <v>1081</v>
      </c>
      <c r="B813" s="1">
        <v>45121</v>
      </c>
      <c r="C813" t="s">
        <v>38</v>
      </c>
      <c r="D813" t="s">
        <v>15</v>
      </c>
      <c r="E813" s="2">
        <f>Table1[[#This Row],[Quantity_Sold]] * Table1[[#This Row],[Unit_Price]] * (1 - (Table1[[#This Row],[Discount]] / 100))</f>
        <v>41085.970992000002</v>
      </c>
      <c r="F813" s="2">
        <f>Table1[[#This Row],[Quantity_Sold]] * ((Table1[[#This Row],[Unit_Price]] * (1 - (Table1[[#This Row],[Discount]] / 100))) - Table1[[#This Row],[Unit_Cost]])</f>
        <v>603.57099200000084</v>
      </c>
      <c r="G813" s="3">
        <v>16</v>
      </c>
      <c r="H813" t="s">
        <v>29</v>
      </c>
      <c r="I813">
        <v>2530.15</v>
      </c>
      <c r="J813" s="2">
        <v>2568.13</v>
      </c>
      <c r="K813" t="s">
        <v>30</v>
      </c>
      <c r="L813" s="4">
        <v>0.01</v>
      </c>
      <c r="M813" t="s">
        <v>31</v>
      </c>
      <c r="N813" t="s">
        <v>19</v>
      </c>
      <c r="O813" t="s">
        <v>40</v>
      </c>
    </row>
    <row r="814" spans="1:15" x14ac:dyDescent="0.25">
      <c r="A814" s="3">
        <v>1069</v>
      </c>
      <c r="B814" s="1">
        <v>45263</v>
      </c>
      <c r="C814" t="s">
        <v>24</v>
      </c>
      <c r="D814" t="s">
        <v>15</v>
      </c>
      <c r="E814" s="2">
        <f>Table1[[#This Row],[Quantity_Sold]] * Table1[[#This Row],[Unit_Price]] * (1 - (Table1[[#This Row],[Discount]] / 100))</f>
        <v>112711.38283999967</v>
      </c>
      <c r="F814" s="2">
        <f>Table1[[#This Row],[Quantity_Sold]] * ((Table1[[#This Row],[Unit_Price]] * (1 - (Table1[[#This Row],[Discount]] / 100))) - Table1[[#This Row],[Unit_Cost]])</f>
        <v>11730.782839999662</v>
      </c>
      <c r="G814" s="3">
        <v>35</v>
      </c>
      <c r="H814" t="s">
        <v>35</v>
      </c>
      <c r="I814">
        <v>2885.16</v>
      </c>
      <c r="J814" s="2">
        <v>3224.8399999999901</v>
      </c>
      <c r="K814" t="s">
        <v>30</v>
      </c>
      <c r="L814" s="4">
        <v>0.14000000000000001</v>
      </c>
      <c r="M814" t="s">
        <v>18</v>
      </c>
      <c r="N814" t="s">
        <v>19</v>
      </c>
      <c r="O814" t="s">
        <v>45</v>
      </c>
    </row>
    <row r="815" spans="1:15" x14ac:dyDescent="0.25">
      <c r="A815" s="3">
        <v>1095</v>
      </c>
      <c r="B815" s="1">
        <v>45162</v>
      </c>
      <c r="C815" t="s">
        <v>14</v>
      </c>
      <c r="D815" t="s">
        <v>21</v>
      </c>
      <c r="E815" s="2">
        <f>Table1[[#This Row],[Quantity_Sold]] * Table1[[#This Row],[Unit_Price]] * (1 - (Table1[[#This Row],[Discount]] / 100))</f>
        <v>19963.616399999999</v>
      </c>
      <c r="F815" s="2">
        <f>Table1[[#This Row],[Quantity_Sold]] * ((Table1[[#This Row],[Unit_Price]] * (1 - (Table1[[#This Row],[Discount]] / 100))) - Table1[[#This Row],[Unit_Cost]])</f>
        <v>5378.2163999999993</v>
      </c>
      <c r="G815" s="3">
        <v>20</v>
      </c>
      <c r="H815" t="s">
        <v>26</v>
      </c>
      <c r="I815">
        <v>729.27</v>
      </c>
      <c r="J815" s="2">
        <v>999.18</v>
      </c>
      <c r="K815" t="s">
        <v>30</v>
      </c>
      <c r="L815" s="4">
        <v>0.1</v>
      </c>
      <c r="M815" t="s">
        <v>27</v>
      </c>
      <c r="N815" t="s">
        <v>19</v>
      </c>
      <c r="O815" t="s">
        <v>23</v>
      </c>
    </row>
    <row r="816" spans="1:15" x14ac:dyDescent="0.25">
      <c r="A816" s="3">
        <v>1005</v>
      </c>
      <c r="B816" s="1">
        <v>45018</v>
      </c>
      <c r="C816" t="s">
        <v>24</v>
      </c>
      <c r="D816" t="s">
        <v>25</v>
      </c>
      <c r="E816" s="2">
        <f>Table1[[#This Row],[Quantity_Sold]] * Table1[[#This Row],[Unit_Price]] * (1 - (Table1[[#This Row],[Discount]] / 100))</f>
        <v>230696.089572</v>
      </c>
      <c r="F816" s="2">
        <f>Table1[[#This Row],[Quantity_Sold]] * ((Table1[[#This Row],[Unit_Price]] * (1 - (Table1[[#This Row],[Discount]] / 100))) - Table1[[#This Row],[Unit_Cost]])</f>
        <v>14890.769571999987</v>
      </c>
      <c r="G816" s="3">
        <v>46</v>
      </c>
      <c r="H816" t="s">
        <v>16</v>
      </c>
      <c r="I816">
        <v>4691.42</v>
      </c>
      <c r="J816" s="2">
        <v>5026.1899999999996</v>
      </c>
      <c r="K816" t="s">
        <v>17</v>
      </c>
      <c r="L816" s="4">
        <v>0.22</v>
      </c>
      <c r="M816" t="s">
        <v>27</v>
      </c>
      <c r="N816" t="s">
        <v>22</v>
      </c>
      <c r="O816" t="s">
        <v>28</v>
      </c>
    </row>
    <row r="817" spans="1:15" x14ac:dyDescent="0.25">
      <c r="A817" s="3">
        <v>1003</v>
      </c>
      <c r="B817" s="1">
        <v>44947</v>
      </c>
      <c r="C817" t="s">
        <v>33</v>
      </c>
      <c r="D817" t="s">
        <v>15</v>
      </c>
      <c r="E817" s="2">
        <f>Table1[[#This Row],[Quantity_Sold]] * Table1[[#This Row],[Unit_Price]] * (1 - (Table1[[#This Row],[Discount]] / 100))</f>
        <v>6268.0436790000003</v>
      </c>
      <c r="F817" s="2">
        <f>Table1[[#This Row],[Quantity_Sold]] * ((Table1[[#This Row],[Unit_Price]] * (1 - (Table1[[#This Row],[Discount]] / 100))) - Table1[[#This Row],[Unit_Cost]])</f>
        <v>891.89367900000047</v>
      </c>
      <c r="G817" s="3">
        <v>3</v>
      </c>
      <c r="H817" t="s">
        <v>16</v>
      </c>
      <c r="I817">
        <v>1792.05</v>
      </c>
      <c r="J817" s="2">
        <v>2091.23</v>
      </c>
      <c r="K817" t="s">
        <v>17</v>
      </c>
      <c r="L817" s="4">
        <v>0.09</v>
      </c>
      <c r="M817" t="s">
        <v>18</v>
      </c>
      <c r="N817" t="s">
        <v>22</v>
      </c>
      <c r="O817" t="s">
        <v>53</v>
      </c>
    </row>
    <row r="818" spans="1:15" x14ac:dyDescent="0.25">
      <c r="A818" s="3">
        <v>1053</v>
      </c>
      <c r="B818" s="1">
        <v>45229</v>
      </c>
      <c r="C818" t="s">
        <v>24</v>
      </c>
      <c r="D818" t="s">
        <v>15</v>
      </c>
      <c r="E818" s="2">
        <f>Table1[[#This Row],[Quantity_Sold]] * Table1[[#This Row],[Unit_Price]] * (1 - (Table1[[#This Row],[Discount]] / 100))</f>
        <v>2469.3711000000003</v>
      </c>
      <c r="F818" s="2">
        <f>Table1[[#This Row],[Quantity_Sold]] * ((Table1[[#This Row],[Unit_Price]] * (1 - (Table1[[#This Row],[Discount]] / 100))) - Table1[[#This Row],[Unit_Cost]])</f>
        <v>210.93110000000024</v>
      </c>
      <c r="G818" s="3">
        <v>1</v>
      </c>
      <c r="H818" t="s">
        <v>26</v>
      </c>
      <c r="I818">
        <v>2258.44</v>
      </c>
      <c r="J818" s="2">
        <v>2475.56</v>
      </c>
      <c r="K818" t="s">
        <v>30</v>
      </c>
      <c r="L818" s="4">
        <v>0.25</v>
      </c>
      <c r="M818" t="s">
        <v>18</v>
      </c>
      <c r="N818" t="s">
        <v>19</v>
      </c>
      <c r="O818" t="s">
        <v>45</v>
      </c>
    </row>
    <row r="819" spans="1:15" x14ac:dyDescent="0.25">
      <c r="A819" s="3">
        <v>1023</v>
      </c>
      <c r="B819" s="1">
        <v>45283</v>
      </c>
      <c r="C819" t="s">
        <v>14</v>
      </c>
      <c r="D819" t="s">
        <v>34</v>
      </c>
      <c r="E819" s="2">
        <f>Table1[[#This Row],[Quantity_Sold]] * Table1[[#This Row],[Unit_Price]] * (1 - (Table1[[#This Row],[Discount]] / 100))</f>
        <v>163413.37550999952</v>
      </c>
      <c r="F819" s="2">
        <f>Table1[[#This Row],[Quantity_Sold]] * ((Table1[[#This Row],[Unit_Price]] * (1 - (Table1[[#This Row],[Discount]] / 100))) - Table1[[#This Row],[Unit_Cost]])</f>
        <v>4801.5355099995377</v>
      </c>
      <c r="G819" s="3">
        <v>47</v>
      </c>
      <c r="H819" t="s">
        <v>35</v>
      </c>
      <c r="I819">
        <v>3374.72</v>
      </c>
      <c r="J819" s="2">
        <v>3483.1499999999901</v>
      </c>
      <c r="K819" t="s">
        <v>17</v>
      </c>
      <c r="L819" s="4">
        <v>0.18</v>
      </c>
      <c r="M819" t="s">
        <v>18</v>
      </c>
      <c r="N819" t="s">
        <v>19</v>
      </c>
      <c r="O819" t="s">
        <v>46</v>
      </c>
    </row>
    <row r="820" spans="1:15" x14ac:dyDescent="0.25">
      <c r="A820" s="3">
        <v>1053</v>
      </c>
      <c r="B820" s="1">
        <v>45010</v>
      </c>
      <c r="C820" t="s">
        <v>14</v>
      </c>
      <c r="D820" t="s">
        <v>34</v>
      </c>
      <c r="E820" s="2">
        <f>Table1[[#This Row],[Quantity_Sold]] * Table1[[#This Row],[Unit_Price]] * (1 - (Table1[[#This Row],[Discount]] / 100))</f>
        <v>1858.1397360000001</v>
      </c>
      <c r="F820" s="2">
        <f>Table1[[#This Row],[Quantity_Sold]] * ((Table1[[#This Row],[Unit_Price]] * (1 - (Table1[[#This Row],[Discount]] / 100))) - Table1[[#This Row],[Unit_Cost]])</f>
        <v>155.31973600000015</v>
      </c>
      <c r="G820" s="3">
        <v>1</v>
      </c>
      <c r="H820" t="s">
        <v>29</v>
      </c>
      <c r="I820">
        <v>1702.82</v>
      </c>
      <c r="J820" s="2">
        <v>1862.61</v>
      </c>
      <c r="K820" t="s">
        <v>17</v>
      </c>
      <c r="L820" s="4">
        <v>0.24</v>
      </c>
      <c r="M820" t="s">
        <v>18</v>
      </c>
      <c r="N820" t="s">
        <v>22</v>
      </c>
      <c r="O820" t="s">
        <v>46</v>
      </c>
    </row>
    <row r="821" spans="1:15" x14ac:dyDescent="0.25">
      <c r="A821" s="3">
        <v>1037</v>
      </c>
      <c r="B821" s="1">
        <v>45188</v>
      </c>
      <c r="C821" t="s">
        <v>42</v>
      </c>
      <c r="D821" t="s">
        <v>25</v>
      </c>
      <c r="E821" s="2">
        <f>Table1[[#This Row],[Quantity_Sold]] * Table1[[#This Row],[Unit_Price]] * (1 - (Table1[[#This Row],[Discount]] / 100))</f>
        <v>26704.674909999998</v>
      </c>
      <c r="F821" s="2">
        <f>Table1[[#This Row],[Quantity_Sold]] * ((Table1[[#This Row],[Unit_Price]] * (1 - (Table1[[#This Row],[Discount]] / 100))) - Table1[[#This Row],[Unit_Cost]])</f>
        <v>4458.8149100000001</v>
      </c>
      <c r="G821" s="3">
        <v>17</v>
      </c>
      <c r="H821" t="s">
        <v>35</v>
      </c>
      <c r="I821">
        <v>1308.58</v>
      </c>
      <c r="J821" s="2">
        <v>1575.59</v>
      </c>
      <c r="K821" t="s">
        <v>30</v>
      </c>
      <c r="L821" s="4">
        <v>0.3</v>
      </c>
      <c r="M821" t="s">
        <v>18</v>
      </c>
      <c r="N821" t="s">
        <v>19</v>
      </c>
      <c r="O821" t="s">
        <v>43</v>
      </c>
    </row>
    <row r="822" spans="1:15" x14ac:dyDescent="0.25">
      <c r="A822" s="3">
        <v>1074</v>
      </c>
      <c r="B822" s="1">
        <v>45073</v>
      </c>
      <c r="C822" t="s">
        <v>38</v>
      </c>
      <c r="D822" t="s">
        <v>21</v>
      </c>
      <c r="E822" s="2">
        <f>Table1[[#This Row],[Quantity_Sold]] * Table1[[#This Row],[Unit_Price]] * (1 - (Table1[[#This Row],[Discount]] / 100))</f>
        <v>6992.2075599999998</v>
      </c>
      <c r="F822" s="2">
        <f>Table1[[#This Row],[Quantity_Sold]] * ((Table1[[#This Row],[Unit_Price]] * (1 - (Table1[[#This Row],[Discount]] / 100))) - Table1[[#This Row],[Unit_Cost]])</f>
        <v>644.82755999999972</v>
      </c>
      <c r="G822" s="3">
        <v>2</v>
      </c>
      <c r="H822" t="s">
        <v>26</v>
      </c>
      <c r="I822">
        <v>3173.69</v>
      </c>
      <c r="J822" s="2">
        <v>3503.11</v>
      </c>
      <c r="K822" t="s">
        <v>30</v>
      </c>
      <c r="L822" s="4">
        <v>0.2</v>
      </c>
      <c r="M822" t="s">
        <v>27</v>
      </c>
      <c r="N822" t="s">
        <v>22</v>
      </c>
      <c r="O822" t="s">
        <v>41</v>
      </c>
    </row>
    <row r="823" spans="1:15" x14ac:dyDescent="0.25">
      <c r="A823" s="3">
        <v>1074</v>
      </c>
      <c r="B823" s="1">
        <v>45183</v>
      </c>
      <c r="C823" t="s">
        <v>24</v>
      </c>
      <c r="D823" t="s">
        <v>25</v>
      </c>
      <c r="E823" s="2">
        <f>Table1[[#This Row],[Quantity_Sold]] * Table1[[#This Row],[Unit_Price]] * (1 - (Table1[[#This Row],[Discount]] / 100))</f>
        <v>16353.771059999999</v>
      </c>
      <c r="F823" s="2">
        <f>Table1[[#This Row],[Quantity_Sold]] * ((Table1[[#This Row],[Unit_Price]] * (1 - (Table1[[#This Row],[Discount]] / 100))) - Table1[[#This Row],[Unit_Cost]])</f>
        <v>11317.341060000001</v>
      </c>
      <c r="G823" s="3">
        <v>29</v>
      </c>
      <c r="H823" t="s">
        <v>16</v>
      </c>
      <c r="I823">
        <v>173.67</v>
      </c>
      <c r="J823" s="2">
        <v>565.62</v>
      </c>
      <c r="K823" t="s">
        <v>17</v>
      </c>
      <c r="L823" s="4">
        <v>0.3</v>
      </c>
      <c r="M823" t="s">
        <v>18</v>
      </c>
      <c r="N823" t="s">
        <v>19</v>
      </c>
      <c r="O823" t="s">
        <v>28</v>
      </c>
    </row>
    <row r="824" spans="1:15" x14ac:dyDescent="0.25">
      <c r="A824" s="3">
        <v>1083</v>
      </c>
      <c r="B824" s="1">
        <v>44984</v>
      </c>
      <c r="C824" t="s">
        <v>42</v>
      </c>
      <c r="D824" t="s">
        <v>21</v>
      </c>
      <c r="E824" s="2">
        <f>Table1[[#This Row],[Quantity_Sold]] * Table1[[#This Row],[Unit_Price]] * (1 - (Table1[[#This Row],[Discount]] / 100))</f>
        <v>80061.993000000002</v>
      </c>
      <c r="F824" s="2">
        <f>Table1[[#This Row],[Quantity_Sold]] * ((Table1[[#This Row],[Unit_Price]] * (1 - (Table1[[#This Row],[Discount]] / 100))) - Table1[[#This Row],[Unit_Cost]])</f>
        <v>7710.1929999999993</v>
      </c>
      <c r="G824" s="3">
        <v>20</v>
      </c>
      <c r="H824" t="s">
        <v>29</v>
      </c>
      <c r="I824">
        <v>3617.59</v>
      </c>
      <c r="J824" s="2">
        <v>4003.5</v>
      </c>
      <c r="K824" t="s">
        <v>30</v>
      </c>
      <c r="L824" s="4">
        <v>0.01</v>
      </c>
      <c r="M824" t="s">
        <v>31</v>
      </c>
      <c r="N824" t="s">
        <v>22</v>
      </c>
      <c r="O824" t="s">
        <v>51</v>
      </c>
    </row>
    <row r="825" spans="1:15" x14ac:dyDescent="0.25">
      <c r="A825" s="3">
        <v>1017</v>
      </c>
      <c r="B825" s="1">
        <v>44941</v>
      </c>
      <c r="C825" t="s">
        <v>38</v>
      </c>
      <c r="D825" t="s">
        <v>15</v>
      </c>
      <c r="E825" s="2">
        <f>Table1[[#This Row],[Quantity_Sold]] * Table1[[#This Row],[Unit_Price]] * (1 - (Table1[[#This Row],[Discount]] / 100))</f>
        <v>18467.75376</v>
      </c>
      <c r="F825" s="2">
        <f>Table1[[#This Row],[Quantity_Sold]] * ((Table1[[#This Row],[Unit_Price]] * (1 - (Table1[[#This Row],[Discount]] / 100))) - Table1[[#This Row],[Unit_Cost]])</f>
        <v>2901.2337599999992</v>
      </c>
      <c r="G825" s="3">
        <v>6</v>
      </c>
      <c r="H825" t="s">
        <v>16</v>
      </c>
      <c r="I825">
        <v>2594.42</v>
      </c>
      <c r="J825" s="2">
        <v>3081.04</v>
      </c>
      <c r="K825" t="s">
        <v>17</v>
      </c>
      <c r="L825" s="4">
        <v>0.1</v>
      </c>
      <c r="M825" t="s">
        <v>27</v>
      </c>
      <c r="N825" t="s">
        <v>22</v>
      </c>
      <c r="O825" t="s">
        <v>40</v>
      </c>
    </row>
    <row r="826" spans="1:15" x14ac:dyDescent="0.25">
      <c r="A826" s="3">
        <v>1085</v>
      </c>
      <c r="B826" s="1">
        <v>45088</v>
      </c>
      <c r="C826" t="s">
        <v>24</v>
      </c>
      <c r="D826" t="s">
        <v>34</v>
      </c>
      <c r="E826" s="2">
        <f>Table1[[#This Row],[Quantity_Sold]] * Table1[[#This Row],[Unit_Price]] * (1 - (Table1[[#This Row],[Discount]] / 100))</f>
        <v>25580.643504</v>
      </c>
      <c r="F826" s="2">
        <f>Table1[[#This Row],[Quantity_Sold]] * ((Table1[[#This Row],[Unit_Price]] * (1 - (Table1[[#This Row],[Discount]] / 100))) - Table1[[#This Row],[Unit_Cost]])</f>
        <v>1192.8035039999995</v>
      </c>
      <c r="G826" s="3">
        <v>8</v>
      </c>
      <c r="H826" t="s">
        <v>26</v>
      </c>
      <c r="I826">
        <v>3048.48</v>
      </c>
      <c r="J826" s="2">
        <v>3198.54</v>
      </c>
      <c r="K826" t="s">
        <v>17</v>
      </c>
      <c r="L826" s="4">
        <v>0.03</v>
      </c>
      <c r="M826" t="s">
        <v>27</v>
      </c>
      <c r="N826" t="s">
        <v>19</v>
      </c>
      <c r="O826" t="s">
        <v>50</v>
      </c>
    </row>
    <row r="827" spans="1:15" x14ac:dyDescent="0.25">
      <c r="A827" s="3">
        <v>1078</v>
      </c>
      <c r="B827" s="1">
        <v>45089</v>
      </c>
      <c r="C827" t="s">
        <v>33</v>
      </c>
      <c r="D827" t="s">
        <v>25</v>
      </c>
      <c r="E827" s="2">
        <f>Table1[[#This Row],[Quantity_Sold]] * Table1[[#This Row],[Unit_Price]] * (1 - (Table1[[#This Row],[Discount]] / 100))</f>
        <v>93382.084520000004</v>
      </c>
      <c r="F827" s="2">
        <f>Table1[[#This Row],[Quantity_Sold]] * ((Table1[[#This Row],[Unit_Price]] * (1 - (Table1[[#This Row],[Discount]] / 100))) - Table1[[#This Row],[Unit_Cost]])</f>
        <v>1225.5945200000006</v>
      </c>
      <c r="G827" s="3">
        <v>29</v>
      </c>
      <c r="H827" t="s">
        <v>35</v>
      </c>
      <c r="I827">
        <v>3177.81</v>
      </c>
      <c r="J827" s="2">
        <v>3222.65</v>
      </c>
      <c r="K827" t="s">
        <v>17</v>
      </c>
      <c r="L827" s="4">
        <v>0.08</v>
      </c>
      <c r="M827" t="s">
        <v>31</v>
      </c>
      <c r="N827" t="s">
        <v>22</v>
      </c>
      <c r="O827" t="s">
        <v>44</v>
      </c>
    </row>
    <row r="828" spans="1:15" x14ac:dyDescent="0.25">
      <c r="A828" s="3">
        <v>1073</v>
      </c>
      <c r="B828" s="1">
        <v>45246</v>
      </c>
      <c r="C828" t="s">
        <v>24</v>
      </c>
      <c r="D828" t="s">
        <v>25</v>
      </c>
      <c r="E828" s="2">
        <f>Table1[[#This Row],[Quantity_Sold]] * Table1[[#This Row],[Unit_Price]] * (1 - (Table1[[#This Row],[Discount]] / 100))</f>
        <v>135896.3676</v>
      </c>
      <c r="F828" s="2">
        <f>Table1[[#This Row],[Quantity_Sold]] * ((Table1[[#This Row],[Unit_Price]] * (1 - (Table1[[#This Row],[Discount]] / 100))) - Table1[[#This Row],[Unit_Cost]])</f>
        <v>8269.1675999999934</v>
      </c>
      <c r="G828" s="3">
        <v>48</v>
      </c>
      <c r="H828" t="s">
        <v>29</v>
      </c>
      <c r="I828">
        <v>2658.9</v>
      </c>
      <c r="J828" s="2">
        <v>2838.27</v>
      </c>
      <c r="K828" t="s">
        <v>30</v>
      </c>
      <c r="L828" s="4">
        <v>0.25</v>
      </c>
      <c r="M828" t="s">
        <v>31</v>
      </c>
      <c r="N828" t="s">
        <v>19</v>
      </c>
      <c r="O828" t="s">
        <v>28</v>
      </c>
    </row>
    <row r="829" spans="1:15" x14ac:dyDescent="0.25">
      <c r="A829" s="3">
        <v>1001</v>
      </c>
      <c r="B829" s="1">
        <v>45207</v>
      </c>
      <c r="C829" t="s">
        <v>14</v>
      </c>
      <c r="D829" t="s">
        <v>21</v>
      </c>
      <c r="E829" s="2">
        <f>Table1[[#This Row],[Quantity_Sold]] * Table1[[#This Row],[Unit_Price]] * (1 - (Table1[[#This Row],[Discount]] / 100))</f>
        <v>109144.83442500001</v>
      </c>
      <c r="F829" s="2">
        <f>Table1[[#This Row],[Quantity_Sold]] * ((Table1[[#This Row],[Unit_Price]] * (1 - (Table1[[#This Row],[Discount]] / 100))) - Table1[[#This Row],[Unit_Cost]])</f>
        <v>12338.014425000005</v>
      </c>
      <c r="G829" s="3">
        <v>33</v>
      </c>
      <c r="H829" t="s">
        <v>16</v>
      </c>
      <c r="I829">
        <v>2933.54</v>
      </c>
      <c r="J829" s="2">
        <v>3307.75</v>
      </c>
      <c r="K829" t="s">
        <v>17</v>
      </c>
      <c r="L829" s="4">
        <v>0.01</v>
      </c>
      <c r="M829" t="s">
        <v>27</v>
      </c>
      <c r="N829" t="s">
        <v>22</v>
      </c>
      <c r="O829" t="s">
        <v>23</v>
      </c>
    </row>
    <row r="830" spans="1:15" x14ac:dyDescent="0.25">
      <c r="A830" s="3">
        <v>1051</v>
      </c>
      <c r="B830" s="1">
        <v>45206</v>
      </c>
      <c r="C830" t="s">
        <v>14</v>
      </c>
      <c r="D830" t="s">
        <v>21</v>
      </c>
      <c r="E830" s="2">
        <f>Table1[[#This Row],[Quantity_Sold]] * Table1[[#This Row],[Unit_Price]] * (1 - (Table1[[#This Row],[Discount]] / 100))</f>
        <v>10960.694783999999</v>
      </c>
      <c r="F830" s="2">
        <f>Table1[[#This Row],[Quantity_Sold]] * ((Table1[[#This Row],[Unit_Price]] * (1 - (Table1[[#This Row],[Discount]] / 100))) - Table1[[#This Row],[Unit_Cost]])</f>
        <v>656.44478399999934</v>
      </c>
      <c r="G830" s="3">
        <v>3</v>
      </c>
      <c r="H830" t="s">
        <v>16</v>
      </c>
      <c r="I830">
        <v>3434.75</v>
      </c>
      <c r="J830" s="2">
        <v>3659.42</v>
      </c>
      <c r="K830" t="s">
        <v>30</v>
      </c>
      <c r="L830" s="4">
        <v>0.16</v>
      </c>
      <c r="M830" t="s">
        <v>18</v>
      </c>
      <c r="N830" t="s">
        <v>19</v>
      </c>
      <c r="O830" t="s">
        <v>23</v>
      </c>
    </row>
    <row r="831" spans="1:15" x14ac:dyDescent="0.25">
      <c r="A831" s="3">
        <v>1045</v>
      </c>
      <c r="B831" s="1">
        <v>44938</v>
      </c>
      <c r="C831" t="s">
        <v>33</v>
      </c>
      <c r="D831" t="s">
        <v>25</v>
      </c>
      <c r="E831" s="2">
        <f>Table1[[#This Row],[Quantity_Sold]] * Table1[[#This Row],[Unit_Price]] * (1 - (Table1[[#This Row],[Discount]] / 100))</f>
        <v>146353.87473000001</v>
      </c>
      <c r="F831" s="2">
        <f>Table1[[#This Row],[Quantity_Sold]] * ((Table1[[#This Row],[Unit_Price]] * (1 - (Table1[[#This Row],[Discount]] / 100))) - Table1[[#This Row],[Unit_Cost]])</f>
        <v>14125.974729999973</v>
      </c>
      <c r="G831" s="3">
        <v>35</v>
      </c>
      <c r="H831" t="s">
        <v>16</v>
      </c>
      <c r="I831">
        <v>3777.94</v>
      </c>
      <c r="J831" s="2">
        <v>4188.66</v>
      </c>
      <c r="K831" t="s">
        <v>30</v>
      </c>
      <c r="L831" s="4">
        <v>0.17</v>
      </c>
      <c r="M831" t="s">
        <v>27</v>
      </c>
      <c r="N831" t="s">
        <v>19</v>
      </c>
      <c r="O831" t="s">
        <v>44</v>
      </c>
    </row>
    <row r="832" spans="1:15" x14ac:dyDescent="0.25">
      <c r="A832" s="3">
        <v>1077</v>
      </c>
      <c r="B832" s="1">
        <v>45200</v>
      </c>
      <c r="C832" t="s">
        <v>42</v>
      </c>
      <c r="D832" t="s">
        <v>21</v>
      </c>
      <c r="E832" s="2">
        <f>Table1[[#This Row],[Quantity_Sold]] * Table1[[#This Row],[Unit_Price]] * (1 - (Table1[[#This Row],[Discount]] / 100))</f>
        <v>19616.894489999999</v>
      </c>
      <c r="F832" s="2">
        <f>Table1[[#This Row],[Quantity_Sold]] * ((Table1[[#This Row],[Unit_Price]] * (1 - (Table1[[#This Row],[Discount]] / 100))) - Table1[[#This Row],[Unit_Cost]])</f>
        <v>1362.4444900000003</v>
      </c>
      <c r="G832" s="3">
        <v>5</v>
      </c>
      <c r="H832" t="s">
        <v>35</v>
      </c>
      <c r="I832">
        <v>3650.89</v>
      </c>
      <c r="J832" s="2">
        <v>3930.06</v>
      </c>
      <c r="K832" t="s">
        <v>30</v>
      </c>
      <c r="L832" s="4">
        <v>0.17</v>
      </c>
      <c r="M832" t="s">
        <v>27</v>
      </c>
      <c r="N832" t="s">
        <v>19</v>
      </c>
      <c r="O832" t="s">
        <v>51</v>
      </c>
    </row>
    <row r="833" spans="1:15" x14ac:dyDescent="0.25">
      <c r="A833" s="3">
        <v>1004</v>
      </c>
      <c r="B833" s="1">
        <v>45197</v>
      </c>
      <c r="C833" t="s">
        <v>38</v>
      </c>
      <c r="D833" t="s">
        <v>25</v>
      </c>
      <c r="E833" s="2">
        <f>Table1[[#This Row],[Quantity_Sold]] * Table1[[#This Row],[Unit_Price]] * (1 - (Table1[[#This Row],[Discount]] / 100))</f>
        <v>129963.19644</v>
      </c>
      <c r="F833" s="2">
        <f>Table1[[#This Row],[Quantity_Sold]] * ((Table1[[#This Row],[Unit_Price]] * (1 - (Table1[[#This Row],[Discount]] / 100))) - Table1[[#This Row],[Unit_Cost]])</f>
        <v>12388.996439999992</v>
      </c>
      <c r="G833" s="3">
        <v>27</v>
      </c>
      <c r="H833" t="s">
        <v>29</v>
      </c>
      <c r="I833">
        <v>4354.6000000000004</v>
      </c>
      <c r="J833" s="2">
        <v>4820.2</v>
      </c>
      <c r="K833" t="s">
        <v>30</v>
      </c>
      <c r="L833" s="4">
        <v>0.14000000000000001</v>
      </c>
      <c r="M833" t="s">
        <v>31</v>
      </c>
      <c r="N833" t="s">
        <v>22</v>
      </c>
      <c r="O833" t="s">
        <v>39</v>
      </c>
    </row>
    <row r="834" spans="1:15" x14ac:dyDescent="0.25">
      <c r="A834" s="3">
        <v>1062</v>
      </c>
      <c r="B834" s="1">
        <v>45134</v>
      </c>
      <c r="C834" t="s">
        <v>24</v>
      </c>
      <c r="D834" t="s">
        <v>25</v>
      </c>
      <c r="E834" s="2">
        <f>Table1[[#This Row],[Quantity_Sold]] * Table1[[#This Row],[Unit_Price]] * (1 - (Table1[[#This Row],[Discount]] / 100))</f>
        <v>64181.952736000007</v>
      </c>
      <c r="F834" s="2">
        <f>Table1[[#This Row],[Quantity_Sold]] * ((Table1[[#This Row],[Unit_Price]] * (1 - (Table1[[#This Row],[Discount]] / 100))) - Table1[[#This Row],[Unit_Cost]])</f>
        <v>20721.392736000002</v>
      </c>
      <c r="G834" s="3">
        <v>44</v>
      </c>
      <c r="H834" t="s">
        <v>35</v>
      </c>
      <c r="I834">
        <v>987.74</v>
      </c>
      <c r="J834" s="2">
        <v>1462.19</v>
      </c>
      <c r="K834" t="s">
        <v>30</v>
      </c>
      <c r="L834" s="4">
        <v>0.24</v>
      </c>
      <c r="M834" t="s">
        <v>27</v>
      </c>
      <c r="N834" t="s">
        <v>19</v>
      </c>
      <c r="O834" t="s">
        <v>28</v>
      </c>
    </row>
    <row r="835" spans="1:15" x14ac:dyDescent="0.25">
      <c r="A835" s="3">
        <v>1065</v>
      </c>
      <c r="B835" s="1">
        <v>44953</v>
      </c>
      <c r="C835" t="s">
        <v>14</v>
      </c>
      <c r="D835" t="s">
        <v>25</v>
      </c>
      <c r="E835" s="2">
        <f>Table1[[#This Row],[Quantity_Sold]] * Table1[[#This Row],[Unit_Price]] * (1 - (Table1[[#This Row],[Discount]] / 100))</f>
        <v>24945.697728000003</v>
      </c>
      <c r="F835" s="2">
        <f>Table1[[#This Row],[Quantity_Sold]] * ((Table1[[#This Row],[Unit_Price]] * (1 - (Table1[[#This Row],[Discount]] / 100))) - Table1[[#This Row],[Unit_Cost]])</f>
        <v>517.53772800000024</v>
      </c>
      <c r="G835" s="3">
        <v>12</v>
      </c>
      <c r="H835" t="s">
        <v>35</v>
      </c>
      <c r="I835">
        <v>2035.68</v>
      </c>
      <c r="J835" s="2">
        <v>2079.64</v>
      </c>
      <c r="K835" t="s">
        <v>17</v>
      </c>
      <c r="L835" s="4">
        <v>0.04</v>
      </c>
      <c r="M835" t="s">
        <v>18</v>
      </c>
      <c r="N835" t="s">
        <v>19</v>
      </c>
      <c r="O835" t="s">
        <v>32</v>
      </c>
    </row>
    <row r="836" spans="1:15" x14ac:dyDescent="0.25">
      <c r="A836" s="3">
        <v>1032</v>
      </c>
      <c r="B836" s="1">
        <v>44998</v>
      </c>
      <c r="C836" t="s">
        <v>42</v>
      </c>
      <c r="D836" t="s">
        <v>15</v>
      </c>
      <c r="E836" s="2">
        <f>Table1[[#This Row],[Quantity_Sold]] * Table1[[#This Row],[Unit_Price]] * (1 - (Table1[[#This Row],[Discount]] / 100))</f>
        <v>99415.045859999984</v>
      </c>
      <c r="F836" s="2">
        <f>Table1[[#This Row],[Quantity_Sold]] * ((Table1[[#This Row],[Unit_Price]] * (1 - (Table1[[#This Row],[Discount]] / 100))) - Table1[[#This Row],[Unit_Cost]])</f>
        <v>4583.2458599999882</v>
      </c>
      <c r="G836" s="3">
        <v>20</v>
      </c>
      <c r="H836" t="s">
        <v>35</v>
      </c>
      <c r="I836">
        <v>4741.59</v>
      </c>
      <c r="J836" s="2">
        <v>4975.2299999999996</v>
      </c>
      <c r="K836" t="s">
        <v>30</v>
      </c>
      <c r="L836" s="4">
        <v>0.09</v>
      </c>
      <c r="M836" t="s">
        <v>31</v>
      </c>
      <c r="N836" t="s">
        <v>19</v>
      </c>
      <c r="O836" t="s">
        <v>49</v>
      </c>
    </row>
    <row r="837" spans="1:15" x14ac:dyDescent="0.25">
      <c r="A837" s="3">
        <v>1034</v>
      </c>
      <c r="B837" s="1">
        <v>44986</v>
      </c>
      <c r="C837" t="s">
        <v>33</v>
      </c>
      <c r="D837" t="s">
        <v>21</v>
      </c>
      <c r="E837" s="2">
        <f>Table1[[#This Row],[Quantity_Sold]] * Table1[[#This Row],[Unit_Price]] * (1 - (Table1[[#This Row],[Discount]] / 100))</f>
        <v>104296.07853</v>
      </c>
      <c r="F837" s="2">
        <f>Table1[[#This Row],[Quantity_Sold]] * ((Table1[[#This Row],[Unit_Price]] * (1 - (Table1[[#This Row],[Discount]] / 100))) - Table1[[#This Row],[Unit_Cost]])</f>
        <v>13705.678530000007</v>
      </c>
      <c r="G837" s="3">
        <v>45</v>
      </c>
      <c r="H837" t="s">
        <v>26</v>
      </c>
      <c r="I837">
        <v>2013.12</v>
      </c>
      <c r="J837" s="2">
        <v>2321.87</v>
      </c>
      <c r="K837" t="s">
        <v>30</v>
      </c>
      <c r="L837" s="4">
        <v>0.18</v>
      </c>
      <c r="M837" t="s">
        <v>27</v>
      </c>
      <c r="N837" t="s">
        <v>22</v>
      </c>
      <c r="O837" t="s">
        <v>37</v>
      </c>
    </row>
    <row r="838" spans="1:15" x14ac:dyDescent="0.25">
      <c r="A838" s="3">
        <v>1092</v>
      </c>
      <c r="B838" s="1">
        <v>45071</v>
      </c>
      <c r="C838" t="s">
        <v>14</v>
      </c>
      <c r="D838" t="s">
        <v>34</v>
      </c>
      <c r="E838" s="2">
        <f>Table1[[#This Row],[Quantity_Sold]] * Table1[[#This Row],[Unit_Price]] * (1 - (Table1[[#This Row],[Discount]] / 100))</f>
        <v>16036.05342</v>
      </c>
      <c r="F838" s="2">
        <f>Table1[[#This Row],[Quantity_Sold]] * ((Table1[[#This Row],[Unit_Price]] * (1 - (Table1[[#This Row],[Discount]] / 100))) - Table1[[#This Row],[Unit_Cost]])</f>
        <v>2673.8534200000004</v>
      </c>
      <c r="G838" s="3">
        <v>20</v>
      </c>
      <c r="H838" t="s">
        <v>26</v>
      </c>
      <c r="I838">
        <v>668.11</v>
      </c>
      <c r="J838" s="2">
        <v>803.49</v>
      </c>
      <c r="K838" t="s">
        <v>30</v>
      </c>
      <c r="L838" s="4">
        <v>0.21</v>
      </c>
      <c r="M838" t="s">
        <v>27</v>
      </c>
      <c r="N838" t="s">
        <v>19</v>
      </c>
      <c r="O838" t="s">
        <v>46</v>
      </c>
    </row>
    <row r="839" spans="1:15" x14ac:dyDescent="0.25">
      <c r="A839" s="3">
        <v>1095</v>
      </c>
      <c r="B839" s="1">
        <v>45019</v>
      </c>
      <c r="C839" t="s">
        <v>33</v>
      </c>
      <c r="D839" t="s">
        <v>34</v>
      </c>
      <c r="E839" s="2">
        <f>Table1[[#This Row],[Quantity_Sold]] * Table1[[#This Row],[Unit_Price]] * (1 - (Table1[[#This Row],[Discount]] / 100))</f>
        <v>25712.887463999912</v>
      </c>
      <c r="F839" s="2">
        <f>Table1[[#This Row],[Quantity_Sold]] * ((Table1[[#This Row],[Unit_Price]] * (1 - (Table1[[#This Row],[Discount]] / 100))) - Table1[[#This Row],[Unit_Cost]])</f>
        <v>1854.3374639999133</v>
      </c>
      <c r="G839" s="3">
        <v>9</v>
      </c>
      <c r="H839" t="s">
        <v>26</v>
      </c>
      <c r="I839">
        <v>2650.95</v>
      </c>
      <c r="J839" s="2">
        <v>2860.4199999999901</v>
      </c>
      <c r="K839" t="s">
        <v>30</v>
      </c>
      <c r="L839" s="4">
        <v>0.12</v>
      </c>
      <c r="M839" t="s">
        <v>18</v>
      </c>
      <c r="N839" t="s">
        <v>22</v>
      </c>
      <c r="O839" t="s">
        <v>36</v>
      </c>
    </row>
    <row r="840" spans="1:15" x14ac:dyDescent="0.25">
      <c r="A840" s="3">
        <v>1072</v>
      </c>
      <c r="B840" s="1">
        <v>45235</v>
      </c>
      <c r="C840" t="s">
        <v>24</v>
      </c>
      <c r="D840" t="s">
        <v>21</v>
      </c>
      <c r="E840" s="2">
        <f>Table1[[#This Row],[Quantity_Sold]] * Table1[[#This Row],[Unit_Price]] * (1 - (Table1[[#This Row],[Discount]] / 100))</f>
        <v>36332.848343999998</v>
      </c>
      <c r="F840" s="2">
        <f>Table1[[#This Row],[Quantity_Sold]] * ((Table1[[#This Row],[Unit_Price]] * (1 - (Table1[[#This Row],[Discount]] / 100))) - Table1[[#This Row],[Unit_Cost]])</f>
        <v>13245.628343999995</v>
      </c>
      <c r="G840" s="3">
        <v>39</v>
      </c>
      <c r="H840" t="s">
        <v>29</v>
      </c>
      <c r="I840">
        <v>591.98</v>
      </c>
      <c r="J840" s="2">
        <v>934.04</v>
      </c>
      <c r="K840" t="s">
        <v>30</v>
      </c>
      <c r="L840" s="4">
        <v>0.26</v>
      </c>
      <c r="M840" t="s">
        <v>27</v>
      </c>
      <c r="N840" t="s">
        <v>22</v>
      </c>
      <c r="O840" t="s">
        <v>47</v>
      </c>
    </row>
    <row r="841" spans="1:15" x14ac:dyDescent="0.25">
      <c r="A841" s="3">
        <v>1039</v>
      </c>
      <c r="B841" s="1">
        <v>44934</v>
      </c>
      <c r="C841" t="s">
        <v>38</v>
      </c>
      <c r="D841" t="s">
        <v>25</v>
      </c>
      <c r="E841" s="2">
        <f>Table1[[#This Row],[Quantity_Sold]] * Table1[[#This Row],[Unit_Price]] * (1 - (Table1[[#This Row],[Discount]] / 100))</f>
        <v>4695.2389439999606</v>
      </c>
      <c r="F841" s="2">
        <f>Table1[[#This Row],[Quantity_Sold]] * ((Table1[[#This Row],[Unit_Price]] * (1 - (Table1[[#This Row],[Discount]] / 100))) - Table1[[#This Row],[Unit_Cost]])</f>
        <v>478.75894399996105</v>
      </c>
      <c r="G841" s="3">
        <v>4</v>
      </c>
      <c r="H841" t="s">
        <v>35</v>
      </c>
      <c r="I841">
        <v>1054.1199999999999</v>
      </c>
      <c r="J841" s="2">
        <v>1175.21999999999</v>
      </c>
      <c r="K841" t="s">
        <v>17</v>
      </c>
      <c r="L841" s="4">
        <v>0.12</v>
      </c>
      <c r="M841" t="s">
        <v>27</v>
      </c>
      <c r="N841" t="s">
        <v>22</v>
      </c>
      <c r="O841" t="s">
        <v>39</v>
      </c>
    </row>
    <row r="842" spans="1:15" x14ac:dyDescent="0.25">
      <c r="A842" s="3">
        <v>1026</v>
      </c>
      <c r="B842" s="1">
        <v>45005</v>
      </c>
      <c r="C842" t="s">
        <v>14</v>
      </c>
      <c r="D842" t="s">
        <v>34</v>
      </c>
      <c r="E842" s="2">
        <f>Table1[[#This Row],[Quantity_Sold]] * Table1[[#This Row],[Unit_Price]] * (1 - (Table1[[#This Row],[Discount]] / 100))</f>
        <v>100515.58637999999</v>
      </c>
      <c r="F842" s="2">
        <f>Table1[[#This Row],[Quantity_Sold]] * ((Table1[[#This Row],[Unit_Price]] * (1 - (Table1[[#This Row],[Discount]] / 100))) - Table1[[#This Row],[Unit_Cost]])</f>
        <v>5673.6663799999824</v>
      </c>
      <c r="G842" s="3">
        <v>19</v>
      </c>
      <c r="H842" t="s">
        <v>35</v>
      </c>
      <c r="I842">
        <v>4991.68</v>
      </c>
      <c r="J842" s="2">
        <v>5296.65</v>
      </c>
      <c r="K842" t="s">
        <v>30</v>
      </c>
      <c r="L842" s="4">
        <v>0.12</v>
      </c>
      <c r="M842" t="s">
        <v>27</v>
      </c>
      <c r="N842" t="s">
        <v>19</v>
      </c>
      <c r="O842" t="s">
        <v>46</v>
      </c>
    </row>
    <row r="843" spans="1:15" x14ac:dyDescent="0.25">
      <c r="A843" s="3">
        <v>1034</v>
      </c>
      <c r="B843" s="1">
        <v>44953</v>
      </c>
      <c r="C843" t="s">
        <v>14</v>
      </c>
      <c r="D843" t="s">
        <v>34</v>
      </c>
      <c r="E843" s="2">
        <f>Table1[[#This Row],[Quantity_Sold]] * Table1[[#This Row],[Unit_Price]] * (1 - (Table1[[#This Row],[Discount]] / 100))</f>
        <v>117085.29030000001</v>
      </c>
      <c r="F843" s="2">
        <f>Table1[[#This Row],[Quantity_Sold]] * ((Table1[[#This Row],[Unit_Price]] * (1 - (Table1[[#This Row],[Discount]] / 100))) - Table1[[#This Row],[Unit_Cost]])</f>
        <v>13354.790300000006</v>
      </c>
      <c r="G843" s="3">
        <v>38</v>
      </c>
      <c r="H843" t="s">
        <v>26</v>
      </c>
      <c r="I843">
        <v>2729.75</v>
      </c>
      <c r="J843" s="2">
        <v>3081.5</v>
      </c>
      <c r="K843" t="s">
        <v>30</v>
      </c>
      <c r="L843" s="4">
        <v>0.01</v>
      </c>
      <c r="M843" t="s">
        <v>27</v>
      </c>
      <c r="N843" t="s">
        <v>19</v>
      </c>
      <c r="O843" t="s">
        <v>46</v>
      </c>
    </row>
    <row r="844" spans="1:15" x14ac:dyDescent="0.25">
      <c r="A844" s="3">
        <v>1054</v>
      </c>
      <c r="B844" s="1">
        <v>45100</v>
      </c>
      <c r="C844" t="s">
        <v>24</v>
      </c>
      <c r="D844" t="s">
        <v>21</v>
      </c>
      <c r="E844" s="2">
        <f>Table1[[#This Row],[Quantity_Sold]] * Table1[[#This Row],[Unit_Price]] * (1 - (Table1[[#This Row],[Discount]] / 100))</f>
        <v>40712.281262999728</v>
      </c>
      <c r="F844" s="2">
        <f>Table1[[#This Row],[Quantity_Sold]] * ((Table1[[#This Row],[Unit_Price]] * (1 - (Table1[[#This Row],[Discount]] / 100))) - Table1[[#This Row],[Unit_Cost]])</f>
        <v>1397.8512629997313</v>
      </c>
      <c r="G844" s="3">
        <v>27</v>
      </c>
      <c r="H844" t="s">
        <v>35</v>
      </c>
      <c r="I844">
        <v>1456.09</v>
      </c>
      <c r="J844" s="2">
        <v>1510.4299999999901</v>
      </c>
      <c r="K844" t="s">
        <v>17</v>
      </c>
      <c r="L844" s="4">
        <v>0.17</v>
      </c>
      <c r="M844" t="s">
        <v>18</v>
      </c>
      <c r="N844" t="s">
        <v>22</v>
      </c>
      <c r="O844" t="s">
        <v>47</v>
      </c>
    </row>
    <row r="845" spans="1:15" x14ac:dyDescent="0.25">
      <c r="A845" s="3">
        <v>1003</v>
      </c>
      <c r="B845" s="1">
        <v>44976</v>
      </c>
      <c r="C845" t="s">
        <v>42</v>
      </c>
      <c r="D845" t="s">
        <v>34</v>
      </c>
      <c r="E845" s="2">
        <f>Table1[[#This Row],[Quantity_Sold]] * Table1[[#This Row],[Unit_Price]] * (1 - (Table1[[#This Row],[Discount]] / 100))</f>
        <v>234762.81061499999</v>
      </c>
      <c r="F845" s="2">
        <f>Table1[[#This Row],[Quantity_Sold]] * ((Table1[[#This Row],[Unit_Price]] * (1 - (Table1[[#This Row],[Discount]] / 100))) - Table1[[#This Row],[Unit_Cost]])</f>
        <v>10926.510614999992</v>
      </c>
      <c r="G845" s="3">
        <v>45</v>
      </c>
      <c r="H845" t="s">
        <v>35</v>
      </c>
      <c r="I845">
        <v>4974.1400000000003</v>
      </c>
      <c r="J845" s="2">
        <v>5227.93</v>
      </c>
      <c r="K845" t="s">
        <v>30</v>
      </c>
      <c r="L845" s="4">
        <v>0.21</v>
      </c>
      <c r="M845" t="s">
        <v>27</v>
      </c>
      <c r="N845" t="s">
        <v>19</v>
      </c>
      <c r="O845" t="s">
        <v>52</v>
      </c>
    </row>
    <row r="846" spans="1:15" x14ac:dyDescent="0.25">
      <c r="A846" s="3">
        <v>1050</v>
      </c>
      <c r="B846" s="1">
        <v>45125</v>
      </c>
      <c r="C846" t="s">
        <v>38</v>
      </c>
      <c r="D846" t="s">
        <v>25</v>
      </c>
      <c r="E846" s="2">
        <f>Table1[[#This Row],[Quantity_Sold]] * Table1[[#This Row],[Unit_Price]] * (1 - (Table1[[#This Row],[Discount]] / 100))</f>
        <v>213791.18339799999</v>
      </c>
      <c r="F846" s="2">
        <f>Table1[[#This Row],[Quantity_Sold]] * ((Table1[[#This Row],[Unit_Price]] * (1 - (Table1[[#This Row],[Discount]] / 100))) - Table1[[#This Row],[Unit_Cost]])</f>
        <v>5908.9733980000165</v>
      </c>
      <c r="G846" s="3">
        <v>43</v>
      </c>
      <c r="H846" t="s">
        <v>16</v>
      </c>
      <c r="I846">
        <v>4834.47</v>
      </c>
      <c r="J846" s="2">
        <v>4973.38</v>
      </c>
      <c r="K846" t="s">
        <v>17</v>
      </c>
      <c r="L846" s="4">
        <v>0.03</v>
      </c>
      <c r="M846" t="s">
        <v>27</v>
      </c>
      <c r="N846" t="s">
        <v>19</v>
      </c>
      <c r="O846" t="s">
        <v>39</v>
      </c>
    </row>
    <row r="847" spans="1:15" x14ac:dyDescent="0.25">
      <c r="A847" s="3">
        <v>1012</v>
      </c>
      <c r="B847" s="1">
        <v>45275</v>
      </c>
      <c r="C847" t="s">
        <v>14</v>
      </c>
      <c r="D847" t="s">
        <v>21</v>
      </c>
      <c r="E847" s="2">
        <f>Table1[[#This Row],[Quantity_Sold]] * Table1[[#This Row],[Unit_Price]] * (1 - (Table1[[#This Row],[Discount]] / 100))</f>
        <v>33725.549662999867</v>
      </c>
      <c r="F847" s="2">
        <f>Table1[[#This Row],[Quantity_Sold]] * ((Table1[[#This Row],[Unit_Price]] * (1 - (Table1[[#This Row],[Discount]] / 100))) - Table1[[#This Row],[Unit_Cost]])</f>
        <v>4713.9696629998734</v>
      </c>
      <c r="G847" s="3">
        <v>13</v>
      </c>
      <c r="H847" t="s">
        <v>35</v>
      </c>
      <c r="I847">
        <v>2231.66</v>
      </c>
      <c r="J847" s="2">
        <v>2596.6099999999901</v>
      </c>
      <c r="K847" t="s">
        <v>17</v>
      </c>
      <c r="L847" s="4">
        <v>0.09</v>
      </c>
      <c r="M847" t="s">
        <v>27</v>
      </c>
      <c r="N847" t="s">
        <v>22</v>
      </c>
      <c r="O847" t="s">
        <v>23</v>
      </c>
    </row>
    <row r="848" spans="1:15" x14ac:dyDescent="0.25">
      <c r="A848" s="3">
        <v>1065</v>
      </c>
      <c r="B848" s="1">
        <v>45107</v>
      </c>
      <c r="C848" t="s">
        <v>38</v>
      </c>
      <c r="D848" t="s">
        <v>25</v>
      </c>
      <c r="E848" s="2">
        <f>Table1[[#This Row],[Quantity_Sold]] * Table1[[#This Row],[Unit_Price]] * (1 - (Table1[[#This Row],[Discount]] / 100))</f>
        <v>18701.327788000002</v>
      </c>
      <c r="F848" s="2">
        <f>Table1[[#This Row],[Quantity_Sold]] * ((Table1[[#This Row],[Unit_Price]] * (1 - (Table1[[#This Row],[Discount]] / 100))) - Table1[[#This Row],[Unit_Cost]])</f>
        <v>1294.3277880000028</v>
      </c>
      <c r="G848" s="3">
        <v>13</v>
      </c>
      <c r="H848" t="s">
        <v>16</v>
      </c>
      <c r="I848">
        <v>1339</v>
      </c>
      <c r="J848" s="2">
        <v>1441.88</v>
      </c>
      <c r="K848" t="s">
        <v>17</v>
      </c>
      <c r="L848" s="4">
        <v>0.23</v>
      </c>
      <c r="M848" t="s">
        <v>31</v>
      </c>
      <c r="N848" t="s">
        <v>22</v>
      </c>
      <c r="O848" t="s">
        <v>39</v>
      </c>
    </row>
    <row r="849" spans="1:15" x14ac:dyDescent="0.25">
      <c r="A849" s="3">
        <v>1054</v>
      </c>
      <c r="B849" s="1">
        <v>44950</v>
      </c>
      <c r="C849" t="s">
        <v>14</v>
      </c>
      <c r="D849" t="s">
        <v>34</v>
      </c>
      <c r="E849" s="2">
        <f>Table1[[#This Row],[Quantity_Sold]] * Table1[[#This Row],[Unit_Price]] * (1 - (Table1[[#This Row],[Discount]] / 100))</f>
        <v>102127.69582399999</v>
      </c>
      <c r="F849" s="2">
        <f>Table1[[#This Row],[Quantity_Sold]] * ((Table1[[#This Row],[Unit_Price]] * (1 - (Table1[[#This Row],[Discount]] / 100))) - Table1[[#This Row],[Unit_Cost]])</f>
        <v>9725.9358239999947</v>
      </c>
      <c r="G849" s="3">
        <v>22</v>
      </c>
      <c r="H849" t="s">
        <v>35</v>
      </c>
      <c r="I849">
        <v>4200.08</v>
      </c>
      <c r="J849" s="2">
        <v>4647.28</v>
      </c>
      <c r="K849" t="s">
        <v>17</v>
      </c>
      <c r="L849" s="4">
        <v>0.11</v>
      </c>
      <c r="M849" t="s">
        <v>18</v>
      </c>
      <c r="N849" t="s">
        <v>19</v>
      </c>
      <c r="O849" t="s">
        <v>46</v>
      </c>
    </row>
    <row r="850" spans="1:15" x14ac:dyDescent="0.25">
      <c r="A850" s="3">
        <v>1005</v>
      </c>
      <c r="B850" s="1">
        <v>45242</v>
      </c>
      <c r="C850" t="s">
        <v>38</v>
      </c>
      <c r="D850" t="s">
        <v>34</v>
      </c>
      <c r="E850" s="2">
        <f>Table1[[#This Row],[Quantity_Sold]] * Table1[[#This Row],[Unit_Price]] * (1 - (Table1[[#This Row],[Discount]] / 100))</f>
        <v>106702.695792</v>
      </c>
      <c r="F850" s="2">
        <f>Table1[[#This Row],[Quantity_Sold]] * ((Table1[[#This Row],[Unit_Price]] * (1 - (Table1[[#This Row],[Discount]] / 100))) - Table1[[#This Row],[Unit_Cost]])</f>
        <v>6117.7357919999922</v>
      </c>
      <c r="G850" s="3">
        <v>28</v>
      </c>
      <c r="H850" t="s">
        <v>29</v>
      </c>
      <c r="I850">
        <v>3592.32</v>
      </c>
      <c r="J850" s="2">
        <v>3813.48</v>
      </c>
      <c r="K850" t="s">
        <v>30</v>
      </c>
      <c r="L850" s="4">
        <v>7.0000000000000007E-2</v>
      </c>
      <c r="M850" t="s">
        <v>31</v>
      </c>
      <c r="N850" t="s">
        <v>22</v>
      </c>
      <c r="O850" t="s">
        <v>48</v>
      </c>
    </row>
    <row r="851" spans="1:15" x14ac:dyDescent="0.25">
      <c r="A851" s="3">
        <v>1094</v>
      </c>
      <c r="B851" s="1">
        <v>44972</v>
      </c>
      <c r="C851" t="s">
        <v>33</v>
      </c>
      <c r="D851" t="s">
        <v>25</v>
      </c>
      <c r="E851" s="2">
        <f>Table1[[#This Row],[Quantity_Sold]] * Table1[[#This Row],[Unit_Price]] * (1 - (Table1[[#This Row],[Discount]] / 100))</f>
        <v>166862.46628000002</v>
      </c>
      <c r="F851" s="2">
        <f>Table1[[#This Row],[Quantity_Sold]] * ((Table1[[#This Row],[Unit_Price]] * (1 - (Table1[[#This Row],[Discount]] / 100))) - Table1[[#This Row],[Unit_Cost]])</f>
        <v>4695.5462800000023</v>
      </c>
      <c r="G851" s="3">
        <v>47</v>
      </c>
      <c r="H851" t="s">
        <v>26</v>
      </c>
      <c r="I851">
        <v>3450.36</v>
      </c>
      <c r="J851" s="2">
        <v>3557.38</v>
      </c>
      <c r="K851" t="s">
        <v>30</v>
      </c>
      <c r="L851" s="4">
        <v>0.2</v>
      </c>
      <c r="M851" t="s">
        <v>31</v>
      </c>
      <c r="N851" t="s">
        <v>19</v>
      </c>
      <c r="O851" t="s">
        <v>44</v>
      </c>
    </row>
    <row r="852" spans="1:15" x14ac:dyDescent="0.25">
      <c r="A852" s="3">
        <v>1094</v>
      </c>
      <c r="B852" s="1">
        <v>44941</v>
      </c>
      <c r="C852" t="s">
        <v>14</v>
      </c>
      <c r="D852" t="s">
        <v>15</v>
      </c>
      <c r="E852" s="2">
        <f>Table1[[#This Row],[Quantity_Sold]] * Table1[[#This Row],[Unit_Price]] * (1 - (Table1[[#This Row],[Discount]] / 100))</f>
        <v>211172.52041999999</v>
      </c>
      <c r="F852" s="2">
        <f>Table1[[#This Row],[Quantity_Sold]] * ((Table1[[#This Row],[Unit_Price]] * (1 - (Table1[[#This Row],[Discount]] / 100))) - Table1[[#This Row],[Unit_Cost]])</f>
        <v>9981.57041999998</v>
      </c>
      <c r="G852" s="3">
        <v>45</v>
      </c>
      <c r="H852" t="s">
        <v>16</v>
      </c>
      <c r="I852">
        <v>4470.91</v>
      </c>
      <c r="J852" s="2">
        <v>4695.54</v>
      </c>
      <c r="K852" t="s">
        <v>17</v>
      </c>
      <c r="L852" s="4">
        <v>0.06</v>
      </c>
      <c r="M852" t="s">
        <v>18</v>
      </c>
      <c r="N852" t="s">
        <v>22</v>
      </c>
      <c r="O852" t="s">
        <v>20</v>
      </c>
    </row>
    <row r="853" spans="1:15" x14ac:dyDescent="0.25">
      <c r="A853" s="3">
        <v>1057</v>
      </c>
      <c r="B853" s="1">
        <v>45079</v>
      </c>
      <c r="C853" t="s">
        <v>38</v>
      </c>
      <c r="D853" t="s">
        <v>34</v>
      </c>
      <c r="E853" s="2">
        <f>Table1[[#This Row],[Quantity_Sold]] * Table1[[#This Row],[Unit_Price]] * (1 - (Table1[[#This Row],[Discount]] / 100))</f>
        <v>80585.410334</v>
      </c>
      <c r="F853" s="2">
        <f>Table1[[#This Row],[Quantity_Sold]] * ((Table1[[#This Row],[Unit_Price]] * (1 - (Table1[[#This Row],[Discount]] / 100))) - Table1[[#This Row],[Unit_Cost]])</f>
        <v>4407.9903339999928</v>
      </c>
      <c r="G853" s="3">
        <v>22</v>
      </c>
      <c r="H853" t="s">
        <v>26</v>
      </c>
      <c r="I853">
        <v>3462.61</v>
      </c>
      <c r="J853" s="2">
        <v>3672.89</v>
      </c>
      <c r="K853" t="s">
        <v>17</v>
      </c>
      <c r="L853" s="4">
        <v>0.27</v>
      </c>
      <c r="M853" t="s">
        <v>31</v>
      </c>
      <c r="N853" t="s">
        <v>19</v>
      </c>
      <c r="O853" t="s">
        <v>48</v>
      </c>
    </row>
    <row r="854" spans="1:15" x14ac:dyDescent="0.25">
      <c r="A854" s="3">
        <v>1017</v>
      </c>
      <c r="B854" s="1">
        <v>45148</v>
      </c>
      <c r="C854" t="s">
        <v>42</v>
      </c>
      <c r="D854" t="s">
        <v>15</v>
      </c>
      <c r="E854" s="2">
        <f>Table1[[#This Row],[Quantity_Sold]] * Table1[[#This Row],[Unit_Price]] * (1 - (Table1[[#This Row],[Discount]] / 100))</f>
        <v>72002.102887000015</v>
      </c>
      <c r="F854" s="2">
        <f>Table1[[#This Row],[Quantity_Sold]] * ((Table1[[#This Row],[Unit_Price]] * (1 - (Table1[[#This Row],[Discount]] / 100))) - Table1[[#This Row],[Unit_Cost]])</f>
        <v>9445.7028870000049</v>
      </c>
      <c r="G854" s="3">
        <v>43</v>
      </c>
      <c r="H854" t="s">
        <v>16</v>
      </c>
      <c r="I854">
        <v>1454.8</v>
      </c>
      <c r="J854" s="2">
        <v>1674.97</v>
      </c>
      <c r="K854" t="s">
        <v>30</v>
      </c>
      <c r="L854" s="4">
        <v>0.03</v>
      </c>
      <c r="M854" t="s">
        <v>31</v>
      </c>
      <c r="N854" t="s">
        <v>19</v>
      </c>
      <c r="O854" t="s">
        <v>49</v>
      </c>
    </row>
    <row r="855" spans="1:15" x14ac:dyDescent="0.25">
      <c r="A855" s="3">
        <v>1047</v>
      </c>
      <c r="B855" s="1">
        <v>45132</v>
      </c>
      <c r="C855" t="s">
        <v>33</v>
      </c>
      <c r="D855" t="s">
        <v>34</v>
      </c>
      <c r="E855" s="2">
        <f>Table1[[#This Row],[Quantity_Sold]] * Table1[[#This Row],[Unit_Price]] * (1 - (Table1[[#This Row],[Discount]] / 100))</f>
        <v>71698.566154999804</v>
      </c>
      <c r="F855" s="2">
        <f>Table1[[#This Row],[Quantity_Sold]] * ((Table1[[#This Row],[Unit_Price]] * (1 - (Table1[[#This Row],[Discount]] / 100))) - Table1[[#This Row],[Unit_Cost]])</f>
        <v>5490.7861549998206</v>
      </c>
      <c r="G855" s="3">
        <v>19</v>
      </c>
      <c r="H855" t="s">
        <v>16</v>
      </c>
      <c r="I855">
        <v>3484.62</v>
      </c>
      <c r="J855" s="2">
        <v>3781.5499999999902</v>
      </c>
      <c r="K855" t="s">
        <v>17</v>
      </c>
      <c r="L855" s="4">
        <v>0.21</v>
      </c>
      <c r="M855" t="s">
        <v>31</v>
      </c>
      <c r="N855" t="s">
        <v>22</v>
      </c>
      <c r="O855" t="s">
        <v>36</v>
      </c>
    </row>
    <row r="856" spans="1:15" x14ac:dyDescent="0.25">
      <c r="A856" s="3">
        <v>1023</v>
      </c>
      <c r="B856" s="1">
        <v>45199</v>
      </c>
      <c r="C856" t="s">
        <v>33</v>
      </c>
      <c r="D856" t="s">
        <v>15</v>
      </c>
      <c r="E856" s="2">
        <f>Table1[[#This Row],[Quantity_Sold]] * Table1[[#This Row],[Unit_Price]] * (1 - (Table1[[#This Row],[Discount]] / 100))</f>
        <v>14611.330079999922</v>
      </c>
      <c r="F856" s="2">
        <f>Table1[[#This Row],[Quantity_Sold]] * ((Table1[[#This Row],[Unit_Price]] * (1 - (Table1[[#This Row],[Discount]] / 100))) - Table1[[#This Row],[Unit_Cost]])</f>
        <v>2101.0900799999217</v>
      </c>
      <c r="G856" s="3">
        <v>8</v>
      </c>
      <c r="H856" t="s">
        <v>16</v>
      </c>
      <c r="I856">
        <v>1563.78</v>
      </c>
      <c r="J856" s="2">
        <v>1829.1599999999901</v>
      </c>
      <c r="K856" t="s">
        <v>17</v>
      </c>
      <c r="L856" s="4">
        <v>0.15</v>
      </c>
      <c r="M856" t="s">
        <v>18</v>
      </c>
      <c r="N856" t="s">
        <v>19</v>
      </c>
      <c r="O856" t="s">
        <v>53</v>
      </c>
    </row>
    <row r="857" spans="1:15" x14ac:dyDescent="0.25">
      <c r="A857" s="3">
        <v>1079</v>
      </c>
      <c r="B857" s="1">
        <v>45162</v>
      </c>
      <c r="C857" t="s">
        <v>42</v>
      </c>
      <c r="D857" t="s">
        <v>15</v>
      </c>
      <c r="E857" s="2">
        <f>Table1[[#This Row],[Quantity_Sold]] * Table1[[#This Row],[Unit_Price]] * (1 - (Table1[[#This Row],[Discount]] / 100))</f>
        <v>31052.014303999997</v>
      </c>
      <c r="F857" s="2">
        <f>Table1[[#This Row],[Quantity_Sold]] * ((Table1[[#This Row],[Unit_Price]] * (1 - (Table1[[#This Row],[Discount]] / 100))) - Table1[[#This Row],[Unit_Cost]])</f>
        <v>586.17430399999648</v>
      </c>
      <c r="G857" s="3">
        <v>8</v>
      </c>
      <c r="H857" t="s">
        <v>29</v>
      </c>
      <c r="I857">
        <v>3808.23</v>
      </c>
      <c r="J857" s="2">
        <v>3891.62</v>
      </c>
      <c r="K857" t="s">
        <v>17</v>
      </c>
      <c r="L857" s="4">
        <v>0.26</v>
      </c>
      <c r="M857" t="s">
        <v>27</v>
      </c>
      <c r="N857" t="s">
        <v>19</v>
      </c>
      <c r="O857" t="s">
        <v>49</v>
      </c>
    </row>
    <row r="858" spans="1:15" x14ac:dyDescent="0.25">
      <c r="A858" s="3">
        <v>1085</v>
      </c>
      <c r="B858" s="1">
        <v>45266</v>
      </c>
      <c r="C858" t="s">
        <v>38</v>
      </c>
      <c r="D858" t="s">
        <v>15</v>
      </c>
      <c r="E858" s="2">
        <f>Table1[[#This Row],[Quantity_Sold]] * Table1[[#This Row],[Unit_Price]] * (1 - (Table1[[#This Row],[Discount]] / 100))</f>
        <v>132661.87401599999</v>
      </c>
      <c r="F858" s="2">
        <f>Table1[[#This Row],[Quantity_Sold]] * ((Table1[[#This Row],[Unit_Price]] * (1 - (Table1[[#This Row],[Discount]] / 100))) - Table1[[#This Row],[Unit_Cost]])</f>
        <v>1716.3740160000134</v>
      </c>
      <c r="G858" s="3">
        <v>42</v>
      </c>
      <c r="H858" t="s">
        <v>35</v>
      </c>
      <c r="I858">
        <v>3117.75</v>
      </c>
      <c r="J858" s="2">
        <v>3159.88</v>
      </c>
      <c r="K858" t="s">
        <v>30</v>
      </c>
      <c r="L858" s="4">
        <v>0.04</v>
      </c>
      <c r="M858" t="s">
        <v>18</v>
      </c>
      <c r="N858" t="s">
        <v>22</v>
      </c>
      <c r="O858" t="s">
        <v>40</v>
      </c>
    </row>
    <row r="859" spans="1:15" x14ac:dyDescent="0.25">
      <c r="A859" s="3">
        <v>1014</v>
      </c>
      <c r="B859" s="1">
        <v>45154</v>
      </c>
      <c r="C859" t="s">
        <v>24</v>
      </c>
      <c r="D859" t="s">
        <v>25</v>
      </c>
      <c r="E859" s="2">
        <f>Table1[[#This Row],[Quantity_Sold]] * Table1[[#This Row],[Unit_Price]] * (1 - (Table1[[#This Row],[Discount]] / 100))</f>
        <v>20773.968800000002</v>
      </c>
      <c r="F859" s="2">
        <f>Table1[[#This Row],[Quantity_Sold]] * ((Table1[[#This Row],[Unit_Price]] * (1 - (Table1[[#This Row],[Discount]] / 100))) - Table1[[#This Row],[Unit_Cost]])</f>
        <v>9511.0288000000019</v>
      </c>
      <c r="G859" s="3">
        <v>26</v>
      </c>
      <c r="H859" t="s">
        <v>16</v>
      </c>
      <c r="I859">
        <v>433.19</v>
      </c>
      <c r="J859" s="2">
        <v>800.6</v>
      </c>
      <c r="K859" t="s">
        <v>17</v>
      </c>
      <c r="L859" s="4">
        <v>0.2</v>
      </c>
      <c r="M859" t="s">
        <v>18</v>
      </c>
      <c r="N859" t="s">
        <v>19</v>
      </c>
      <c r="O859" t="s">
        <v>28</v>
      </c>
    </row>
    <row r="860" spans="1:15" x14ac:dyDescent="0.25">
      <c r="A860" s="3">
        <v>1066</v>
      </c>
      <c r="B860" s="1">
        <v>44935</v>
      </c>
      <c r="C860" t="s">
        <v>42</v>
      </c>
      <c r="D860" t="s">
        <v>15</v>
      </c>
      <c r="E860" s="2">
        <f>Table1[[#This Row],[Quantity_Sold]] * Table1[[#This Row],[Unit_Price]] * (1 - (Table1[[#This Row],[Discount]] / 100))</f>
        <v>137659.97952000002</v>
      </c>
      <c r="F860" s="2">
        <f>Table1[[#This Row],[Quantity_Sold]] * ((Table1[[#This Row],[Unit_Price]] * (1 - (Table1[[#This Row],[Discount]] / 100))) - Table1[[#This Row],[Unit_Cost]])</f>
        <v>13410.059520000003</v>
      </c>
      <c r="G860" s="3">
        <v>48</v>
      </c>
      <c r="H860" t="s">
        <v>29</v>
      </c>
      <c r="I860">
        <v>2588.54</v>
      </c>
      <c r="J860" s="2">
        <v>2872.8</v>
      </c>
      <c r="K860" t="s">
        <v>30</v>
      </c>
      <c r="L860" s="4">
        <v>0.17</v>
      </c>
      <c r="M860" t="s">
        <v>18</v>
      </c>
      <c r="N860" t="s">
        <v>19</v>
      </c>
      <c r="O860" t="s">
        <v>49</v>
      </c>
    </row>
    <row r="861" spans="1:15" x14ac:dyDescent="0.25">
      <c r="A861" s="3">
        <v>1075</v>
      </c>
      <c r="B861" s="1">
        <v>45092</v>
      </c>
      <c r="C861" t="s">
        <v>38</v>
      </c>
      <c r="D861" t="s">
        <v>15</v>
      </c>
      <c r="E861" s="2">
        <f>Table1[[#This Row],[Quantity_Sold]] * Table1[[#This Row],[Unit_Price]] * (1 - (Table1[[#This Row],[Discount]] / 100))</f>
        <v>50246.056900000003</v>
      </c>
      <c r="F861" s="2">
        <f>Table1[[#This Row],[Quantity_Sold]] * ((Table1[[#This Row],[Unit_Price]] * (1 - (Table1[[#This Row],[Discount]] / 100))) - Table1[[#This Row],[Unit_Cost]])</f>
        <v>4763.2169000000058</v>
      </c>
      <c r="G861" s="3">
        <v>26</v>
      </c>
      <c r="H861" t="s">
        <v>16</v>
      </c>
      <c r="I861">
        <v>1749.34</v>
      </c>
      <c r="J861" s="2">
        <v>1935.25</v>
      </c>
      <c r="K861" t="s">
        <v>30</v>
      </c>
      <c r="L861" s="4">
        <v>0.14000000000000001</v>
      </c>
      <c r="M861" t="s">
        <v>31</v>
      </c>
      <c r="N861" t="s">
        <v>19</v>
      </c>
      <c r="O861" t="s">
        <v>40</v>
      </c>
    </row>
    <row r="862" spans="1:15" x14ac:dyDescent="0.25">
      <c r="A862" s="3">
        <v>1051</v>
      </c>
      <c r="B862" s="1">
        <v>45245</v>
      </c>
      <c r="C862" t="s">
        <v>42</v>
      </c>
      <c r="D862" t="s">
        <v>15</v>
      </c>
      <c r="E862" s="2">
        <f>Table1[[#This Row],[Quantity_Sold]] * Table1[[#This Row],[Unit_Price]] * (1 - (Table1[[#This Row],[Discount]] / 100))</f>
        <v>47826.113060000003</v>
      </c>
      <c r="F862" s="2">
        <f>Table1[[#This Row],[Quantity_Sold]] * ((Table1[[#This Row],[Unit_Price]] * (1 - (Table1[[#This Row],[Discount]] / 100))) - Table1[[#This Row],[Unit_Cost]])</f>
        <v>9268.4530599999998</v>
      </c>
      <c r="G862" s="3">
        <v>23</v>
      </c>
      <c r="H862" t="s">
        <v>35</v>
      </c>
      <c r="I862">
        <v>1676.42</v>
      </c>
      <c r="J862" s="2">
        <v>2082.52</v>
      </c>
      <c r="K862" t="s">
        <v>30</v>
      </c>
      <c r="L862" s="4">
        <v>0.15</v>
      </c>
      <c r="M862" t="s">
        <v>27</v>
      </c>
      <c r="N862" t="s">
        <v>22</v>
      </c>
      <c r="O862" t="s">
        <v>49</v>
      </c>
    </row>
    <row r="863" spans="1:15" x14ac:dyDescent="0.25">
      <c r="A863" s="3">
        <v>1038</v>
      </c>
      <c r="B863" s="1">
        <v>45140</v>
      </c>
      <c r="C863" t="s">
        <v>42</v>
      </c>
      <c r="D863" t="s">
        <v>34</v>
      </c>
      <c r="E863" s="2">
        <f>Table1[[#This Row],[Quantity_Sold]] * Table1[[#This Row],[Unit_Price]] * (1 - (Table1[[#This Row],[Discount]] / 100))</f>
        <v>138641.077128</v>
      </c>
      <c r="F863" s="2">
        <f>Table1[[#This Row],[Quantity_Sold]] * ((Table1[[#This Row],[Unit_Price]] * (1 - (Table1[[#This Row],[Discount]] / 100))) - Table1[[#This Row],[Unit_Cost]])</f>
        <v>8300.7671280000159</v>
      </c>
      <c r="G863" s="3">
        <v>43</v>
      </c>
      <c r="H863" t="s">
        <v>16</v>
      </c>
      <c r="I863">
        <v>3031.17</v>
      </c>
      <c r="J863" s="2">
        <v>3231.32</v>
      </c>
      <c r="K863" t="s">
        <v>17</v>
      </c>
      <c r="L863" s="4">
        <v>0.22</v>
      </c>
      <c r="M863" t="s">
        <v>18</v>
      </c>
      <c r="N863" t="s">
        <v>22</v>
      </c>
      <c r="O863" t="s">
        <v>52</v>
      </c>
    </row>
    <row r="864" spans="1:15" x14ac:dyDescent="0.25">
      <c r="A864" s="3">
        <v>1064</v>
      </c>
      <c r="B864" s="1">
        <v>45043</v>
      </c>
      <c r="C864" t="s">
        <v>14</v>
      </c>
      <c r="D864" t="s">
        <v>15</v>
      </c>
      <c r="E864" s="2">
        <f>Table1[[#This Row],[Quantity_Sold]] * Table1[[#This Row],[Unit_Price]] * (1 - (Table1[[#This Row],[Discount]] / 100))</f>
        <v>26517.432708</v>
      </c>
      <c r="F864" s="2">
        <f>Table1[[#This Row],[Quantity_Sold]] * ((Table1[[#This Row],[Unit_Price]] * (1 - (Table1[[#This Row],[Discount]] / 100))) - Table1[[#This Row],[Unit_Cost]])</f>
        <v>5125.8027079999993</v>
      </c>
      <c r="G864" s="3">
        <v>13</v>
      </c>
      <c r="H864" t="s">
        <v>29</v>
      </c>
      <c r="I864">
        <v>1645.51</v>
      </c>
      <c r="J864" s="2">
        <v>2045.53</v>
      </c>
      <c r="K864" t="s">
        <v>17</v>
      </c>
      <c r="L864" s="4">
        <v>0.28000000000000003</v>
      </c>
      <c r="M864" t="s">
        <v>18</v>
      </c>
      <c r="N864" t="s">
        <v>22</v>
      </c>
      <c r="O864" t="s">
        <v>20</v>
      </c>
    </row>
    <row r="865" spans="1:15" x14ac:dyDescent="0.25">
      <c r="A865" s="3">
        <v>1098</v>
      </c>
      <c r="B865" s="1">
        <v>45270</v>
      </c>
      <c r="C865" t="s">
        <v>38</v>
      </c>
      <c r="D865" t="s">
        <v>34</v>
      </c>
      <c r="E865" s="2">
        <f>Table1[[#This Row],[Quantity_Sold]] * Table1[[#This Row],[Unit_Price]] * (1 - (Table1[[#This Row],[Discount]] / 100))</f>
        <v>113518.25430400002</v>
      </c>
      <c r="F865" s="2">
        <f>Table1[[#This Row],[Quantity_Sold]] * ((Table1[[#This Row],[Unit_Price]] * (1 - (Table1[[#This Row],[Discount]] / 100))) - Table1[[#This Row],[Unit_Cost]])</f>
        <v>4440.894304000014</v>
      </c>
      <c r="G865" s="3">
        <v>28</v>
      </c>
      <c r="H865" t="s">
        <v>35</v>
      </c>
      <c r="I865">
        <v>3895.62</v>
      </c>
      <c r="J865" s="2">
        <v>4055.44</v>
      </c>
      <c r="K865" t="s">
        <v>30</v>
      </c>
      <c r="L865" s="4">
        <v>0.03</v>
      </c>
      <c r="M865" t="s">
        <v>27</v>
      </c>
      <c r="N865" t="s">
        <v>22</v>
      </c>
      <c r="O865" t="s">
        <v>48</v>
      </c>
    </row>
    <row r="866" spans="1:15" x14ac:dyDescent="0.25">
      <c r="A866" s="3">
        <v>1038</v>
      </c>
      <c r="B866" s="1">
        <v>44998</v>
      </c>
      <c r="C866" t="s">
        <v>24</v>
      </c>
      <c r="D866" t="s">
        <v>15</v>
      </c>
      <c r="E866" s="2">
        <f>Table1[[#This Row],[Quantity_Sold]] * Table1[[#This Row],[Unit_Price]] * (1 - (Table1[[#This Row],[Discount]] / 100))</f>
        <v>4014.5885010000002</v>
      </c>
      <c r="F866" s="2">
        <f>Table1[[#This Row],[Quantity_Sold]] * ((Table1[[#This Row],[Unit_Price]] * (1 - (Table1[[#This Row],[Discount]] / 100))) - Table1[[#This Row],[Unit_Cost]])</f>
        <v>410.80850100000021</v>
      </c>
      <c r="G866" s="3">
        <v>9</v>
      </c>
      <c r="H866" t="s">
        <v>29</v>
      </c>
      <c r="I866">
        <v>400.42</v>
      </c>
      <c r="J866" s="2">
        <v>446.11</v>
      </c>
      <c r="K866" t="s">
        <v>30</v>
      </c>
      <c r="L866" s="4">
        <v>0.01</v>
      </c>
      <c r="M866" t="s">
        <v>27</v>
      </c>
      <c r="N866" t="s">
        <v>22</v>
      </c>
      <c r="O866" t="s">
        <v>45</v>
      </c>
    </row>
    <row r="867" spans="1:15" x14ac:dyDescent="0.25">
      <c r="A867" s="3">
        <v>1050</v>
      </c>
      <c r="B867" s="1">
        <v>44990</v>
      </c>
      <c r="C867" t="s">
        <v>14</v>
      </c>
      <c r="D867" t="s">
        <v>15</v>
      </c>
      <c r="E867" s="2">
        <f>Table1[[#This Row],[Quantity_Sold]] * Table1[[#This Row],[Unit_Price]] * (1 - (Table1[[#This Row],[Discount]] / 100))</f>
        <v>75536.476320000002</v>
      </c>
      <c r="F867" s="2">
        <f>Table1[[#This Row],[Quantity_Sold]] * ((Table1[[#This Row],[Unit_Price]] * (1 - (Table1[[#This Row],[Discount]] / 100))) - Table1[[#This Row],[Unit_Cost]])</f>
        <v>9158.0763200000001</v>
      </c>
      <c r="G867" s="3">
        <v>20</v>
      </c>
      <c r="H867" t="s">
        <v>35</v>
      </c>
      <c r="I867">
        <v>3318.92</v>
      </c>
      <c r="J867" s="2">
        <v>3785.91</v>
      </c>
      <c r="K867" t="s">
        <v>30</v>
      </c>
      <c r="L867" s="4">
        <v>0.24</v>
      </c>
      <c r="M867" t="s">
        <v>27</v>
      </c>
      <c r="N867" t="s">
        <v>19</v>
      </c>
      <c r="O867" t="s">
        <v>20</v>
      </c>
    </row>
    <row r="868" spans="1:15" x14ac:dyDescent="0.25">
      <c r="A868" s="3">
        <v>1098</v>
      </c>
      <c r="B868" s="1">
        <v>45131</v>
      </c>
      <c r="C868" t="s">
        <v>42</v>
      </c>
      <c r="D868" t="s">
        <v>25</v>
      </c>
      <c r="E868" s="2">
        <f>Table1[[#This Row],[Quantity_Sold]] * Table1[[#This Row],[Unit_Price]] * (1 - (Table1[[#This Row],[Discount]] / 100))</f>
        <v>80893.684612000012</v>
      </c>
      <c r="F868" s="2">
        <f>Table1[[#This Row],[Quantity_Sold]] * ((Table1[[#This Row],[Unit_Price]] * (1 - (Table1[[#This Row],[Discount]] / 100))) - Table1[[#This Row],[Unit_Cost]])</f>
        <v>3838.9946120000031</v>
      </c>
      <c r="G868" s="3">
        <v>19</v>
      </c>
      <c r="H868" t="s">
        <v>35</v>
      </c>
      <c r="I868">
        <v>4055.51</v>
      </c>
      <c r="J868" s="2">
        <v>4258.84</v>
      </c>
      <c r="K868" t="s">
        <v>17</v>
      </c>
      <c r="L868" s="4">
        <v>0.03</v>
      </c>
      <c r="M868" t="s">
        <v>31</v>
      </c>
      <c r="N868" t="s">
        <v>19</v>
      </c>
      <c r="O868" t="s">
        <v>43</v>
      </c>
    </row>
    <row r="869" spans="1:15" x14ac:dyDescent="0.25">
      <c r="A869" s="3">
        <v>1082</v>
      </c>
      <c r="B869" s="1">
        <v>45135</v>
      </c>
      <c r="C869" t="s">
        <v>42</v>
      </c>
      <c r="D869" t="s">
        <v>34</v>
      </c>
      <c r="E869" s="2">
        <f>Table1[[#This Row],[Quantity_Sold]] * Table1[[#This Row],[Unit_Price]] * (1 - (Table1[[#This Row],[Discount]] / 100))</f>
        <v>180844.95264</v>
      </c>
      <c r="F869" s="2">
        <f>Table1[[#This Row],[Quantity_Sold]] * ((Table1[[#This Row],[Unit_Price]] * (1 - (Table1[[#This Row],[Discount]] / 100))) - Table1[[#This Row],[Unit_Cost]])</f>
        <v>18579.992640000004</v>
      </c>
      <c r="G869" s="3">
        <v>48</v>
      </c>
      <c r="H869" t="s">
        <v>26</v>
      </c>
      <c r="I869">
        <v>3380.52</v>
      </c>
      <c r="J869" s="2">
        <v>3778.94</v>
      </c>
      <c r="K869" t="s">
        <v>17</v>
      </c>
      <c r="L869" s="4">
        <v>0.3</v>
      </c>
      <c r="M869" t="s">
        <v>27</v>
      </c>
      <c r="N869" t="s">
        <v>19</v>
      </c>
      <c r="O869" t="s">
        <v>52</v>
      </c>
    </row>
    <row r="870" spans="1:15" x14ac:dyDescent="0.25">
      <c r="A870" s="3">
        <v>1030</v>
      </c>
      <c r="B870" s="1">
        <v>44998</v>
      </c>
      <c r="C870" t="s">
        <v>42</v>
      </c>
      <c r="D870" t="s">
        <v>15</v>
      </c>
      <c r="E870" s="2">
        <f>Table1[[#This Row],[Quantity_Sold]] * Table1[[#This Row],[Unit_Price]] * (1 - (Table1[[#This Row],[Discount]] / 100))</f>
        <v>103467.377754</v>
      </c>
      <c r="F870" s="2">
        <f>Table1[[#This Row],[Quantity_Sold]] * ((Table1[[#This Row],[Unit_Price]] * (1 - (Table1[[#This Row],[Discount]] / 100))) - Table1[[#This Row],[Unit_Cost]])</f>
        <v>5527.4577539999873</v>
      </c>
      <c r="G870" s="3">
        <v>39</v>
      </c>
      <c r="H870" t="s">
        <v>26</v>
      </c>
      <c r="I870">
        <v>2511.2800000000002</v>
      </c>
      <c r="J870" s="2">
        <v>2658.06</v>
      </c>
      <c r="K870" t="s">
        <v>30</v>
      </c>
      <c r="L870" s="4">
        <v>0.19</v>
      </c>
      <c r="M870" t="s">
        <v>31</v>
      </c>
      <c r="N870" t="s">
        <v>22</v>
      </c>
      <c r="O870" t="s">
        <v>49</v>
      </c>
    </row>
    <row r="871" spans="1:15" x14ac:dyDescent="0.25">
      <c r="A871" s="3">
        <v>1079</v>
      </c>
      <c r="B871" s="1">
        <v>45203</v>
      </c>
      <c r="C871" t="s">
        <v>38</v>
      </c>
      <c r="D871" t="s">
        <v>34</v>
      </c>
      <c r="E871" s="2">
        <f>Table1[[#This Row],[Quantity_Sold]] * Table1[[#This Row],[Unit_Price]] * (1 - (Table1[[#This Row],[Discount]] / 100))</f>
        <v>60846.942239999997</v>
      </c>
      <c r="F871" s="2">
        <f>Table1[[#This Row],[Quantity_Sold]] * ((Table1[[#This Row],[Unit_Price]] * (1 - (Table1[[#This Row],[Discount]] / 100))) - Table1[[#This Row],[Unit_Cost]])</f>
        <v>3798.7022399999951</v>
      </c>
      <c r="G871" s="3">
        <v>12</v>
      </c>
      <c r="H871" t="s">
        <v>26</v>
      </c>
      <c r="I871">
        <v>4754.0200000000004</v>
      </c>
      <c r="J871" s="2">
        <v>5080.74</v>
      </c>
      <c r="K871" t="s">
        <v>30</v>
      </c>
      <c r="L871" s="4">
        <v>0.2</v>
      </c>
      <c r="M871" t="s">
        <v>18</v>
      </c>
      <c r="N871" t="s">
        <v>19</v>
      </c>
      <c r="O871" t="s">
        <v>48</v>
      </c>
    </row>
    <row r="872" spans="1:15" x14ac:dyDescent="0.25">
      <c r="A872" s="3">
        <v>1091</v>
      </c>
      <c r="B872" s="1">
        <v>45200</v>
      </c>
      <c r="C872" t="s">
        <v>38</v>
      </c>
      <c r="D872" t="s">
        <v>34</v>
      </c>
      <c r="E872" s="2">
        <f>Table1[[#This Row],[Quantity_Sold]] * Table1[[#This Row],[Unit_Price]] * (1 - (Table1[[#This Row],[Discount]] / 100))</f>
        <v>29571.546419999999</v>
      </c>
      <c r="F872" s="2">
        <f>Table1[[#This Row],[Quantity_Sold]] * ((Table1[[#This Row],[Unit_Price]] * (1 - (Table1[[#This Row],[Discount]] / 100))) - Table1[[#This Row],[Unit_Cost]])</f>
        <v>6551.0464199999951</v>
      </c>
      <c r="G872" s="3">
        <v>15</v>
      </c>
      <c r="H872" t="s">
        <v>35</v>
      </c>
      <c r="I872">
        <v>1534.7</v>
      </c>
      <c r="J872" s="2">
        <v>1972.62</v>
      </c>
      <c r="K872" t="s">
        <v>17</v>
      </c>
      <c r="L872" s="4">
        <v>0.06</v>
      </c>
      <c r="M872" t="s">
        <v>31</v>
      </c>
      <c r="N872" t="s">
        <v>22</v>
      </c>
      <c r="O872" t="s">
        <v>48</v>
      </c>
    </row>
    <row r="873" spans="1:15" x14ac:dyDescent="0.25">
      <c r="A873" s="3">
        <v>1051</v>
      </c>
      <c r="B873" s="1">
        <v>45246</v>
      </c>
      <c r="C873" t="s">
        <v>14</v>
      </c>
      <c r="D873" t="s">
        <v>21</v>
      </c>
      <c r="E873" s="2">
        <f>Table1[[#This Row],[Quantity_Sold]] * Table1[[#This Row],[Unit_Price]] * (1 - (Table1[[#This Row],[Discount]] / 100))</f>
        <v>5430.1862069999997</v>
      </c>
      <c r="F873" s="2">
        <f>Table1[[#This Row],[Quantity_Sold]] * ((Table1[[#This Row],[Unit_Price]] * (1 - (Table1[[#This Row],[Discount]] / 100))) - Table1[[#This Row],[Unit_Cost]])</f>
        <v>938.90620699999988</v>
      </c>
      <c r="G873" s="3">
        <v>31</v>
      </c>
      <c r="H873" t="s">
        <v>16</v>
      </c>
      <c r="I873">
        <v>144.88</v>
      </c>
      <c r="J873" s="2">
        <v>175.29</v>
      </c>
      <c r="K873" t="s">
        <v>30</v>
      </c>
      <c r="L873" s="4">
        <v>7.0000000000000007E-2</v>
      </c>
      <c r="M873" t="s">
        <v>27</v>
      </c>
      <c r="N873" t="s">
        <v>19</v>
      </c>
      <c r="O873" t="s">
        <v>23</v>
      </c>
    </row>
    <row r="874" spans="1:15" x14ac:dyDescent="0.25">
      <c r="A874" s="3">
        <v>1063</v>
      </c>
      <c r="B874" s="1">
        <v>45264</v>
      </c>
      <c r="C874" t="s">
        <v>24</v>
      </c>
      <c r="D874" t="s">
        <v>25</v>
      </c>
      <c r="E874" s="2">
        <f>Table1[[#This Row],[Quantity_Sold]] * Table1[[#This Row],[Unit_Price]] * (1 - (Table1[[#This Row],[Discount]] / 100))</f>
        <v>36402.08991999986</v>
      </c>
      <c r="F874" s="2">
        <f>Table1[[#This Row],[Quantity_Sold]] * ((Table1[[#This Row],[Unit_Price]] * (1 - (Table1[[#This Row],[Discount]] / 100))) - Table1[[#This Row],[Unit_Cost]])</f>
        <v>5765.1899199998625</v>
      </c>
      <c r="G874" s="3">
        <v>14</v>
      </c>
      <c r="H874" t="s">
        <v>29</v>
      </c>
      <c r="I874">
        <v>2188.35</v>
      </c>
      <c r="J874" s="2">
        <v>2605.3599999999901</v>
      </c>
      <c r="K874" t="s">
        <v>17</v>
      </c>
      <c r="L874" s="4">
        <v>0.2</v>
      </c>
      <c r="M874" t="s">
        <v>31</v>
      </c>
      <c r="N874" t="s">
        <v>22</v>
      </c>
      <c r="O874" t="s">
        <v>28</v>
      </c>
    </row>
    <row r="875" spans="1:15" x14ac:dyDescent="0.25">
      <c r="A875" s="3">
        <v>1098</v>
      </c>
      <c r="B875" s="1">
        <v>45292</v>
      </c>
      <c r="C875" t="s">
        <v>14</v>
      </c>
      <c r="D875" t="s">
        <v>25</v>
      </c>
      <c r="E875" s="2">
        <f>Table1[[#This Row],[Quantity_Sold]] * Table1[[#This Row],[Unit_Price]] * (1 - (Table1[[#This Row],[Discount]] / 100))</f>
        <v>5522.0102079999997</v>
      </c>
      <c r="F875" s="2">
        <f>Table1[[#This Row],[Quantity_Sold]] * ((Table1[[#This Row],[Unit_Price]] * (1 - (Table1[[#This Row],[Discount]] / 100))) - Table1[[#This Row],[Unit_Cost]])</f>
        <v>3174.5002079999995</v>
      </c>
      <c r="G875" s="3">
        <v>11</v>
      </c>
      <c r="H875" t="s">
        <v>29</v>
      </c>
      <c r="I875">
        <v>213.41</v>
      </c>
      <c r="J875" s="2">
        <v>503.36</v>
      </c>
      <c r="K875" t="s">
        <v>17</v>
      </c>
      <c r="L875" s="4">
        <v>0.27</v>
      </c>
      <c r="M875" t="s">
        <v>27</v>
      </c>
      <c r="N875" t="s">
        <v>19</v>
      </c>
      <c r="O875" t="s">
        <v>32</v>
      </c>
    </row>
    <row r="876" spans="1:15" x14ac:dyDescent="0.25">
      <c r="A876" s="3">
        <v>1052</v>
      </c>
      <c r="B876" s="1">
        <v>45021</v>
      </c>
      <c r="C876" t="s">
        <v>33</v>
      </c>
      <c r="D876" t="s">
        <v>25</v>
      </c>
      <c r="E876" s="2">
        <f>Table1[[#This Row],[Quantity_Sold]] * Table1[[#This Row],[Unit_Price]] * (1 - (Table1[[#This Row],[Discount]] / 100))</f>
        <v>131687.89439</v>
      </c>
      <c r="F876" s="2">
        <f>Table1[[#This Row],[Quantity_Sold]] * ((Table1[[#This Row],[Unit_Price]] * (1 - (Table1[[#This Row],[Discount]] / 100))) - Table1[[#This Row],[Unit_Cost]])</f>
        <v>7616.1543899999924</v>
      </c>
      <c r="G876" s="3">
        <v>26</v>
      </c>
      <c r="H876" t="s">
        <v>29</v>
      </c>
      <c r="I876">
        <v>4771.99</v>
      </c>
      <c r="J876" s="2">
        <v>5079.6499999999996</v>
      </c>
      <c r="K876" t="s">
        <v>30</v>
      </c>
      <c r="L876" s="4">
        <v>0.28999999999999998</v>
      </c>
      <c r="M876" t="s">
        <v>31</v>
      </c>
      <c r="N876" t="s">
        <v>19</v>
      </c>
      <c r="O876" t="s">
        <v>44</v>
      </c>
    </row>
    <row r="877" spans="1:15" x14ac:dyDescent="0.25">
      <c r="A877" s="3">
        <v>1038</v>
      </c>
      <c r="B877" s="1">
        <v>45092</v>
      </c>
      <c r="C877" t="s">
        <v>42</v>
      </c>
      <c r="D877" t="s">
        <v>21</v>
      </c>
      <c r="E877" s="2">
        <f>Table1[[#This Row],[Quantity_Sold]] * Table1[[#This Row],[Unit_Price]] * (1 - (Table1[[#This Row],[Discount]] / 100))</f>
        <v>56894.322912000003</v>
      </c>
      <c r="F877" s="2">
        <f>Table1[[#This Row],[Quantity_Sold]] * ((Table1[[#This Row],[Unit_Price]] * (1 - (Table1[[#This Row],[Discount]] / 100))) - Table1[[#This Row],[Unit_Cost]])</f>
        <v>11152.542912000001</v>
      </c>
      <c r="G877" s="3">
        <v>42</v>
      </c>
      <c r="H877" t="s">
        <v>26</v>
      </c>
      <c r="I877">
        <v>1089.0899999999999</v>
      </c>
      <c r="J877" s="2">
        <v>1355.44</v>
      </c>
      <c r="K877" t="s">
        <v>30</v>
      </c>
      <c r="L877" s="4">
        <v>0.06</v>
      </c>
      <c r="M877" t="s">
        <v>18</v>
      </c>
      <c r="N877" t="s">
        <v>22</v>
      </c>
      <c r="O877" t="s">
        <v>51</v>
      </c>
    </row>
    <row r="878" spans="1:15" x14ac:dyDescent="0.25">
      <c r="A878" s="3">
        <v>1097</v>
      </c>
      <c r="B878" s="1">
        <v>44958</v>
      </c>
      <c r="C878" t="s">
        <v>42</v>
      </c>
      <c r="D878" t="s">
        <v>21</v>
      </c>
      <c r="E878" s="2">
        <f>Table1[[#This Row],[Quantity_Sold]] * Table1[[#This Row],[Unit_Price]] * (1 - (Table1[[#This Row],[Discount]] / 100))</f>
        <v>118581.90825600002</v>
      </c>
      <c r="F878" s="2">
        <f>Table1[[#This Row],[Quantity_Sold]] * ((Table1[[#This Row],[Unit_Price]] * (1 - (Table1[[#This Row],[Discount]] / 100))) - Table1[[#This Row],[Unit_Cost]])</f>
        <v>11791.778256</v>
      </c>
      <c r="G878" s="3">
        <v>27</v>
      </c>
      <c r="H878" t="s">
        <v>35</v>
      </c>
      <c r="I878">
        <v>3955.19</v>
      </c>
      <c r="J878" s="2">
        <v>4393.68</v>
      </c>
      <c r="K878" t="s">
        <v>17</v>
      </c>
      <c r="L878" s="4">
        <v>0.04</v>
      </c>
      <c r="M878" t="s">
        <v>31</v>
      </c>
      <c r="N878" t="s">
        <v>19</v>
      </c>
      <c r="O878" t="s">
        <v>51</v>
      </c>
    </row>
    <row r="879" spans="1:15" x14ac:dyDescent="0.25">
      <c r="A879" s="3">
        <v>1088</v>
      </c>
      <c r="B879" s="1">
        <v>44937</v>
      </c>
      <c r="C879" t="s">
        <v>42</v>
      </c>
      <c r="D879" t="s">
        <v>25</v>
      </c>
      <c r="E879" s="2">
        <f>Table1[[#This Row],[Quantity_Sold]] * Table1[[#This Row],[Unit_Price]] * (1 - (Table1[[#This Row],[Discount]] / 100))</f>
        <v>43060.896097999997</v>
      </c>
      <c r="F879" s="2">
        <f>Table1[[#This Row],[Quantity_Sold]] * ((Table1[[#This Row],[Unit_Price]] * (1 - (Table1[[#This Row],[Discount]] / 100))) - Table1[[#This Row],[Unit_Cost]])</f>
        <v>335.46609799999806</v>
      </c>
      <c r="G879" s="3">
        <v>11</v>
      </c>
      <c r="H879" t="s">
        <v>26</v>
      </c>
      <c r="I879">
        <v>3884.13</v>
      </c>
      <c r="J879" s="2">
        <v>3915.41</v>
      </c>
      <c r="K879" t="s">
        <v>17</v>
      </c>
      <c r="L879" s="4">
        <v>0.02</v>
      </c>
      <c r="M879" t="s">
        <v>18</v>
      </c>
      <c r="N879" t="s">
        <v>19</v>
      </c>
      <c r="O879" t="s">
        <v>43</v>
      </c>
    </row>
    <row r="880" spans="1:15" x14ac:dyDescent="0.25">
      <c r="A880" s="3">
        <v>1079</v>
      </c>
      <c r="B880" s="1">
        <v>45227</v>
      </c>
      <c r="C880" t="s">
        <v>14</v>
      </c>
      <c r="D880" t="s">
        <v>21</v>
      </c>
      <c r="E880" s="2">
        <f>Table1[[#This Row],[Quantity_Sold]] * Table1[[#This Row],[Unit_Price]] * (1 - (Table1[[#This Row],[Discount]] / 100))</f>
        <v>47970.032791999998</v>
      </c>
      <c r="F880" s="2">
        <f>Table1[[#This Row],[Quantity_Sold]] * ((Table1[[#This Row],[Unit_Price]] * (1 - (Table1[[#This Row],[Discount]] / 100))) - Table1[[#This Row],[Unit_Cost]])</f>
        <v>5115.1527920000044</v>
      </c>
      <c r="G880" s="3">
        <v>38</v>
      </c>
      <c r="H880" t="s">
        <v>16</v>
      </c>
      <c r="I880">
        <v>1127.76</v>
      </c>
      <c r="J880" s="2">
        <v>1265.6600000000001</v>
      </c>
      <c r="K880" t="s">
        <v>17</v>
      </c>
      <c r="L880" s="4">
        <v>0.26</v>
      </c>
      <c r="M880" t="s">
        <v>27</v>
      </c>
      <c r="N880" t="s">
        <v>22</v>
      </c>
      <c r="O880" t="s">
        <v>23</v>
      </c>
    </row>
    <row r="881" spans="1:15" x14ac:dyDescent="0.25">
      <c r="A881" s="3">
        <v>1030</v>
      </c>
      <c r="B881" s="1">
        <v>45143</v>
      </c>
      <c r="C881" t="s">
        <v>14</v>
      </c>
      <c r="D881" t="s">
        <v>21</v>
      </c>
      <c r="E881" s="2">
        <f>Table1[[#This Row],[Quantity_Sold]] * Table1[[#This Row],[Unit_Price]] * (1 - (Table1[[#This Row],[Discount]] / 100))</f>
        <v>121073.39578600001</v>
      </c>
      <c r="F881" s="2">
        <f>Table1[[#This Row],[Quantity_Sold]] * ((Table1[[#This Row],[Unit_Price]] * (1 - (Table1[[#This Row],[Discount]] / 100))) - Table1[[#This Row],[Unit_Cost]])</f>
        <v>14821.015786</v>
      </c>
      <c r="G881" s="3">
        <v>34</v>
      </c>
      <c r="H881" t="s">
        <v>35</v>
      </c>
      <c r="I881">
        <v>3125.07</v>
      </c>
      <c r="J881" s="2">
        <v>3564.19</v>
      </c>
      <c r="K881" t="s">
        <v>17</v>
      </c>
      <c r="L881" s="4">
        <v>0.09</v>
      </c>
      <c r="M881" t="s">
        <v>18</v>
      </c>
      <c r="N881" t="s">
        <v>19</v>
      </c>
      <c r="O881" t="s">
        <v>23</v>
      </c>
    </row>
    <row r="882" spans="1:15" x14ac:dyDescent="0.25">
      <c r="A882" s="3">
        <v>1051</v>
      </c>
      <c r="B882" s="1">
        <v>45215</v>
      </c>
      <c r="C882" t="s">
        <v>42</v>
      </c>
      <c r="D882" t="s">
        <v>21</v>
      </c>
      <c r="E882" s="2">
        <f>Table1[[#This Row],[Quantity_Sold]] * Table1[[#This Row],[Unit_Price]] * (1 - (Table1[[#This Row],[Discount]] / 100))</f>
        <v>28665.52</v>
      </c>
      <c r="F882" s="2">
        <f>Table1[[#This Row],[Quantity_Sold]] * ((Table1[[#This Row],[Unit_Price]] * (1 - (Table1[[#This Row],[Discount]] / 100))) - Table1[[#This Row],[Unit_Cost]])</f>
        <v>16281.949999999999</v>
      </c>
      <c r="G882" s="3">
        <v>43</v>
      </c>
      <c r="H882" t="s">
        <v>29</v>
      </c>
      <c r="I882">
        <v>287.99</v>
      </c>
      <c r="J882" s="2">
        <v>666.64</v>
      </c>
      <c r="K882" t="s">
        <v>17</v>
      </c>
      <c r="L882" s="4">
        <v>0</v>
      </c>
      <c r="M882" t="s">
        <v>27</v>
      </c>
      <c r="N882" t="s">
        <v>19</v>
      </c>
      <c r="O882" t="s">
        <v>51</v>
      </c>
    </row>
    <row r="883" spans="1:15" x14ac:dyDescent="0.25">
      <c r="A883" s="3">
        <v>1081</v>
      </c>
      <c r="B883" s="1">
        <v>45028</v>
      </c>
      <c r="C883" t="s">
        <v>14</v>
      </c>
      <c r="D883" t="s">
        <v>25</v>
      </c>
      <c r="E883" s="2">
        <f>Table1[[#This Row],[Quantity_Sold]] * Table1[[#This Row],[Unit_Price]] * (1 - (Table1[[#This Row],[Discount]] / 100))</f>
        <v>46751.710878000005</v>
      </c>
      <c r="F883" s="2">
        <f>Table1[[#This Row],[Quantity_Sold]] * ((Table1[[#This Row],[Unit_Price]] * (1 - (Table1[[#This Row],[Discount]] / 100))) - Table1[[#This Row],[Unit_Cost]])</f>
        <v>321.60087800000292</v>
      </c>
      <c r="G883" s="3">
        <v>19</v>
      </c>
      <c r="H883" t="s">
        <v>26</v>
      </c>
      <c r="I883">
        <v>2443.69</v>
      </c>
      <c r="J883" s="2">
        <v>2462.34</v>
      </c>
      <c r="K883" t="s">
        <v>30</v>
      </c>
      <c r="L883" s="4">
        <v>7.0000000000000007E-2</v>
      </c>
      <c r="M883" t="s">
        <v>27</v>
      </c>
      <c r="N883" t="s">
        <v>22</v>
      </c>
      <c r="O883" t="s">
        <v>32</v>
      </c>
    </row>
    <row r="884" spans="1:15" x14ac:dyDescent="0.25">
      <c r="A884" s="3">
        <v>1005</v>
      </c>
      <c r="B884" s="1">
        <v>45193</v>
      </c>
      <c r="C884" t="s">
        <v>38</v>
      </c>
      <c r="D884" t="s">
        <v>25</v>
      </c>
      <c r="E884" s="2">
        <f>Table1[[#This Row],[Quantity_Sold]] * Table1[[#This Row],[Unit_Price]] * (1 - (Table1[[#This Row],[Discount]] / 100))</f>
        <v>2312.6650199999999</v>
      </c>
      <c r="F884" s="2">
        <f>Table1[[#This Row],[Quantity_Sold]] * ((Table1[[#This Row],[Unit_Price]] * (1 - (Table1[[#This Row],[Discount]] / 100))) - Table1[[#This Row],[Unit_Cost]])</f>
        <v>1577.6650199999999</v>
      </c>
      <c r="G884" s="3">
        <v>6</v>
      </c>
      <c r="H884" t="s">
        <v>26</v>
      </c>
      <c r="I884">
        <v>122.5</v>
      </c>
      <c r="J884" s="2">
        <v>385.83</v>
      </c>
      <c r="K884" t="s">
        <v>17</v>
      </c>
      <c r="L884" s="4">
        <v>0.1</v>
      </c>
      <c r="M884" t="s">
        <v>18</v>
      </c>
      <c r="N884" t="s">
        <v>22</v>
      </c>
      <c r="O884" t="s">
        <v>39</v>
      </c>
    </row>
    <row r="885" spans="1:15" x14ac:dyDescent="0.25">
      <c r="A885" s="3">
        <v>1029</v>
      </c>
      <c r="B885" s="1">
        <v>45140</v>
      </c>
      <c r="C885" t="s">
        <v>38</v>
      </c>
      <c r="D885" t="s">
        <v>25</v>
      </c>
      <c r="E885" s="2">
        <f>Table1[[#This Row],[Quantity_Sold]] * Table1[[#This Row],[Unit_Price]] * (1 - (Table1[[#This Row],[Discount]] / 100))</f>
        <v>223767.5773</v>
      </c>
      <c r="F885" s="2">
        <f>Table1[[#This Row],[Quantity_Sold]] * ((Table1[[#This Row],[Unit_Price]] * (1 - (Table1[[#This Row],[Discount]] / 100))) - Table1[[#This Row],[Unit_Cost]])</f>
        <v>11723.217299999982</v>
      </c>
      <c r="G885" s="3">
        <v>46</v>
      </c>
      <c r="H885" t="s">
        <v>16</v>
      </c>
      <c r="I885">
        <v>4609.66</v>
      </c>
      <c r="J885" s="2">
        <v>4879.1499999999996</v>
      </c>
      <c r="K885" t="s">
        <v>17</v>
      </c>
      <c r="L885" s="4">
        <v>0.3</v>
      </c>
      <c r="M885" t="s">
        <v>18</v>
      </c>
      <c r="N885" t="s">
        <v>22</v>
      </c>
      <c r="O885" t="s">
        <v>39</v>
      </c>
    </row>
    <row r="886" spans="1:15" x14ac:dyDescent="0.25">
      <c r="A886" s="3">
        <v>1004</v>
      </c>
      <c r="B886" s="1">
        <v>45105</v>
      </c>
      <c r="C886" t="s">
        <v>14</v>
      </c>
      <c r="D886" t="s">
        <v>21</v>
      </c>
      <c r="E886" s="2">
        <f>Table1[[#This Row],[Quantity_Sold]] * Table1[[#This Row],[Unit_Price]] * (1 - (Table1[[#This Row],[Discount]] / 100))</f>
        <v>193036.92595200002</v>
      </c>
      <c r="F886" s="2">
        <f>Table1[[#This Row],[Quantity_Sold]] * ((Table1[[#This Row],[Unit_Price]] * (1 - (Table1[[#This Row],[Discount]] / 100))) - Table1[[#This Row],[Unit_Cost]])</f>
        <v>7534.9859520000155</v>
      </c>
      <c r="G886" s="3">
        <v>38</v>
      </c>
      <c r="H886" t="s">
        <v>16</v>
      </c>
      <c r="I886">
        <v>4881.63</v>
      </c>
      <c r="J886" s="2">
        <v>5088.0600000000004</v>
      </c>
      <c r="K886" t="s">
        <v>17</v>
      </c>
      <c r="L886" s="4">
        <v>0.16</v>
      </c>
      <c r="M886" t="s">
        <v>31</v>
      </c>
      <c r="N886" t="s">
        <v>22</v>
      </c>
      <c r="O886" t="s">
        <v>23</v>
      </c>
    </row>
    <row r="887" spans="1:15" x14ac:dyDescent="0.25">
      <c r="A887" s="3">
        <v>1010</v>
      </c>
      <c r="B887" s="1">
        <v>45014</v>
      </c>
      <c r="C887" t="s">
        <v>42</v>
      </c>
      <c r="D887" t="s">
        <v>25</v>
      </c>
      <c r="E887" s="2">
        <f>Table1[[#This Row],[Quantity_Sold]] * Table1[[#This Row],[Unit_Price]] * (1 - (Table1[[#This Row],[Discount]] / 100))</f>
        <v>63956.583011999996</v>
      </c>
      <c r="F887" s="2">
        <f>Table1[[#This Row],[Quantity_Sold]] * ((Table1[[#This Row],[Unit_Price]] * (1 - (Table1[[#This Row],[Discount]] / 100))) - Table1[[#This Row],[Unit_Cost]])</f>
        <v>7591.8830120000039</v>
      </c>
      <c r="G887" s="3">
        <v>49</v>
      </c>
      <c r="H887" t="s">
        <v>26</v>
      </c>
      <c r="I887">
        <v>1150.3</v>
      </c>
      <c r="J887" s="2">
        <v>1306.02</v>
      </c>
      <c r="K887" t="s">
        <v>30</v>
      </c>
      <c r="L887" s="4">
        <v>0.06</v>
      </c>
      <c r="M887" t="s">
        <v>31</v>
      </c>
      <c r="N887" t="s">
        <v>22</v>
      </c>
      <c r="O887" t="s">
        <v>43</v>
      </c>
    </row>
    <row r="888" spans="1:15" x14ac:dyDescent="0.25">
      <c r="A888" s="3">
        <v>1056</v>
      </c>
      <c r="B888" s="1">
        <v>44967</v>
      </c>
      <c r="C888" t="s">
        <v>14</v>
      </c>
      <c r="D888" t="s">
        <v>21</v>
      </c>
      <c r="E888" s="2">
        <f>Table1[[#This Row],[Quantity_Sold]] * Table1[[#This Row],[Unit_Price]] * (1 - (Table1[[#This Row],[Discount]] / 100))</f>
        <v>59755.324859999586</v>
      </c>
      <c r="F888" s="2">
        <f>Table1[[#This Row],[Quantity_Sold]] * ((Table1[[#This Row],[Unit_Price]] * (1 - (Table1[[#This Row],[Discount]] / 100))) - Table1[[#This Row],[Unit_Cost]])</f>
        <v>14390.284859999587</v>
      </c>
      <c r="G888" s="3">
        <v>42</v>
      </c>
      <c r="H888" t="s">
        <v>16</v>
      </c>
      <c r="I888">
        <v>1080.1199999999999</v>
      </c>
      <c r="J888" s="2">
        <v>1424.1699999999901</v>
      </c>
      <c r="K888" t="s">
        <v>30</v>
      </c>
      <c r="L888" s="4">
        <v>0.1</v>
      </c>
      <c r="M888" t="s">
        <v>18</v>
      </c>
      <c r="N888" t="s">
        <v>19</v>
      </c>
      <c r="O888" t="s">
        <v>23</v>
      </c>
    </row>
    <row r="889" spans="1:15" x14ac:dyDescent="0.25">
      <c r="A889" s="3">
        <v>1017</v>
      </c>
      <c r="B889" s="1">
        <v>45002</v>
      </c>
      <c r="C889" t="s">
        <v>14</v>
      </c>
      <c r="D889" t="s">
        <v>15</v>
      </c>
      <c r="E889" s="2">
        <f>Table1[[#This Row],[Quantity_Sold]] * Table1[[#This Row],[Unit_Price]] * (1 - (Table1[[#This Row],[Discount]] / 100))</f>
        <v>108887.44356</v>
      </c>
      <c r="F889" s="2">
        <f>Table1[[#This Row],[Quantity_Sold]] * ((Table1[[#This Row],[Unit_Price]] * (1 - (Table1[[#This Row],[Discount]] / 100))) - Table1[[#This Row],[Unit_Cost]])</f>
        <v>3021.9635600000038</v>
      </c>
      <c r="G889" s="3">
        <v>28</v>
      </c>
      <c r="H889" t="s">
        <v>29</v>
      </c>
      <c r="I889">
        <v>3780.91</v>
      </c>
      <c r="J889" s="2">
        <v>3892.73</v>
      </c>
      <c r="K889" t="s">
        <v>17</v>
      </c>
      <c r="L889" s="4">
        <v>0.1</v>
      </c>
      <c r="M889" t="s">
        <v>18</v>
      </c>
      <c r="N889" t="s">
        <v>22</v>
      </c>
      <c r="O889" t="s">
        <v>20</v>
      </c>
    </row>
    <row r="890" spans="1:15" x14ac:dyDescent="0.25">
      <c r="A890" s="3">
        <v>1074</v>
      </c>
      <c r="B890" s="1">
        <v>44972</v>
      </c>
      <c r="C890" t="s">
        <v>14</v>
      </c>
      <c r="D890" t="s">
        <v>21</v>
      </c>
      <c r="E890" s="2">
        <f>Table1[[#This Row],[Quantity_Sold]] * Table1[[#This Row],[Unit_Price]] * (1 - (Table1[[#This Row],[Discount]] / 100))</f>
        <v>1705.5394290000002</v>
      </c>
      <c r="F890" s="2">
        <f>Table1[[#This Row],[Quantity_Sold]] * ((Table1[[#This Row],[Unit_Price]] * (1 - (Table1[[#This Row],[Discount]] / 100))) - Table1[[#This Row],[Unit_Cost]])</f>
        <v>401.30942900000014</v>
      </c>
      <c r="G890" s="3">
        <v>1</v>
      </c>
      <c r="H890" t="s">
        <v>16</v>
      </c>
      <c r="I890">
        <v>1304.23</v>
      </c>
      <c r="J890" s="2">
        <v>1705.71</v>
      </c>
      <c r="K890" t="s">
        <v>17</v>
      </c>
      <c r="L890" s="4">
        <v>0.01</v>
      </c>
      <c r="M890" t="s">
        <v>18</v>
      </c>
      <c r="N890" t="s">
        <v>22</v>
      </c>
      <c r="O890" t="s">
        <v>23</v>
      </c>
    </row>
    <row r="891" spans="1:15" x14ac:dyDescent="0.25">
      <c r="A891" s="3">
        <v>1017</v>
      </c>
      <c r="B891" s="1">
        <v>45086</v>
      </c>
      <c r="C891" t="s">
        <v>33</v>
      </c>
      <c r="D891" t="s">
        <v>34</v>
      </c>
      <c r="E891" s="2">
        <f>Table1[[#This Row],[Quantity_Sold]] * Table1[[#This Row],[Unit_Price]] * (1 - (Table1[[#This Row],[Discount]] / 100))</f>
        <v>170875.82231999998</v>
      </c>
      <c r="F891" s="2">
        <f>Table1[[#This Row],[Quantity_Sold]] * ((Table1[[#This Row],[Unit_Price]] * (1 - (Table1[[#This Row],[Discount]] / 100))) - Table1[[#This Row],[Unit_Cost]])</f>
        <v>14053.772320000004</v>
      </c>
      <c r="G891" s="3">
        <v>35</v>
      </c>
      <c r="H891" t="s">
        <v>16</v>
      </c>
      <c r="I891">
        <v>4480.63</v>
      </c>
      <c r="J891" s="2">
        <v>4884.12</v>
      </c>
      <c r="K891" t="s">
        <v>30</v>
      </c>
      <c r="L891" s="4">
        <v>0.04</v>
      </c>
      <c r="M891" t="s">
        <v>18</v>
      </c>
      <c r="N891" t="s">
        <v>19</v>
      </c>
      <c r="O891" t="s">
        <v>36</v>
      </c>
    </row>
    <row r="892" spans="1:15" x14ac:dyDescent="0.25">
      <c r="A892" s="3">
        <v>1084</v>
      </c>
      <c r="B892" s="1">
        <v>45006</v>
      </c>
      <c r="C892" t="s">
        <v>38</v>
      </c>
      <c r="D892" t="s">
        <v>25</v>
      </c>
      <c r="E892" s="2">
        <f>Table1[[#This Row],[Quantity_Sold]] * Table1[[#This Row],[Unit_Price]] * (1 - (Table1[[#This Row],[Discount]] / 100))</f>
        <v>123916.42788</v>
      </c>
      <c r="F892" s="2">
        <f>Table1[[#This Row],[Quantity_Sold]] * ((Table1[[#This Row],[Unit_Price]] * (1 - (Table1[[#This Row],[Discount]] / 100))) - Table1[[#This Row],[Unit_Cost]])</f>
        <v>8278.4278799999993</v>
      </c>
      <c r="G892" s="3">
        <v>40</v>
      </c>
      <c r="H892" t="s">
        <v>26</v>
      </c>
      <c r="I892">
        <v>2890.95</v>
      </c>
      <c r="J892" s="2">
        <v>3104.43</v>
      </c>
      <c r="K892" t="s">
        <v>30</v>
      </c>
      <c r="L892" s="4">
        <v>0.21</v>
      </c>
      <c r="M892" t="s">
        <v>27</v>
      </c>
      <c r="N892" t="s">
        <v>19</v>
      </c>
      <c r="O892" t="s">
        <v>39</v>
      </c>
    </row>
    <row r="893" spans="1:15" x14ac:dyDescent="0.25">
      <c r="A893" s="3">
        <v>1088</v>
      </c>
      <c r="B893" s="1">
        <v>45236</v>
      </c>
      <c r="C893" t="s">
        <v>24</v>
      </c>
      <c r="D893" t="s">
        <v>25</v>
      </c>
      <c r="E893" s="2">
        <f>Table1[[#This Row],[Quantity_Sold]] * Table1[[#This Row],[Unit_Price]] * (1 - (Table1[[#This Row],[Discount]] / 100))</f>
        <v>15476.127072000001</v>
      </c>
      <c r="F893" s="2">
        <f>Table1[[#This Row],[Quantity_Sold]] * ((Table1[[#This Row],[Unit_Price]] * (1 - (Table1[[#This Row],[Discount]] / 100))) - Table1[[#This Row],[Unit_Cost]])</f>
        <v>1185.3270720000019</v>
      </c>
      <c r="G893" s="3">
        <v>8</v>
      </c>
      <c r="H893" t="s">
        <v>26</v>
      </c>
      <c r="I893">
        <v>1786.35</v>
      </c>
      <c r="J893" s="2">
        <v>1935.29</v>
      </c>
      <c r="K893" t="s">
        <v>30</v>
      </c>
      <c r="L893" s="4">
        <v>0.04</v>
      </c>
      <c r="M893" t="s">
        <v>18</v>
      </c>
      <c r="N893" t="s">
        <v>19</v>
      </c>
      <c r="O893" t="s">
        <v>28</v>
      </c>
    </row>
    <row r="894" spans="1:15" x14ac:dyDescent="0.25">
      <c r="A894" s="3">
        <v>1069</v>
      </c>
      <c r="B894" s="1">
        <v>45012</v>
      </c>
      <c r="C894" t="s">
        <v>24</v>
      </c>
      <c r="D894" t="s">
        <v>34</v>
      </c>
      <c r="E894" s="2">
        <f>Table1[[#This Row],[Quantity_Sold]] * Table1[[#This Row],[Unit_Price]] * (1 - (Table1[[#This Row],[Discount]] / 100))</f>
        <v>202941.55140300002</v>
      </c>
      <c r="F894" s="2">
        <f>Table1[[#This Row],[Quantity_Sold]] * ((Table1[[#This Row],[Unit_Price]] * (1 - (Table1[[#This Row],[Discount]] / 100))) - Table1[[#This Row],[Unit_Cost]])</f>
        <v>6865.5414030000302</v>
      </c>
      <c r="G894" s="3">
        <v>47</v>
      </c>
      <c r="H894" t="s">
        <v>35</v>
      </c>
      <c r="I894">
        <v>4171.83</v>
      </c>
      <c r="J894" s="2">
        <v>4320.93</v>
      </c>
      <c r="K894" t="s">
        <v>30</v>
      </c>
      <c r="L894" s="4">
        <v>7.0000000000000007E-2</v>
      </c>
      <c r="M894" t="s">
        <v>18</v>
      </c>
      <c r="N894" t="s">
        <v>19</v>
      </c>
      <c r="O894" t="s">
        <v>50</v>
      </c>
    </row>
    <row r="895" spans="1:15" x14ac:dyDescent="0.25">
      <c r="A895" s="3">
        <v>1034</v>
      </c>
      <c r="B895" s="1">
        <v>45018</v>
      </c>
      <c r="C895" t="s">
        <v>33</v>
      </c>
      <c r="D895" t="s">
        <v>21</v>
      </c>
      <c r="E895" s="2">
        <f>Table1[[#This Row],[Quantity_Sold]] * Table1[[#This Row],[Unit_Price]] * (1 - (Table1[[#This Row],[Discount]] / 100))</f>
        <v>19149.672164</v>
      </c>
      <c r="F895" s="2">
        <f>Table1[[#This Row],[Quantity_Sold]] * ((Table1[[#This Row],[Unit_Price]] * (1 - (Table1[[#This Row],[Discount]] / 100))) - Table1[[#This Row],[Unit_Cost]])</f>
        <v>1703.1521639999969</v>
      </c>
      <c r="G895" s="3">
        <v>7</v>
      </c>
      <c r="H895" t="s">
        <v>35</v>
      </c>
      <c r="I895">
        <v>2492.36</v>
      </c>
      <c r="J895" s="2">
        <v>2738.68</v>
      </c>
      <c r="K895" t="s">
        <v>17</v>
      </c>
      <c r="L895" s="4">
        <v>0.11</v>
      </c>
      <c r="M895" t="s">
        <v>18</v>
      </c>
      <c r="N895" t="s">
        <v>19</v>
      </c>
      <c r="O895" t="s">
        <v>37</v>
      </c>
    </row>
    <row r="896" spans="1:15" x14ac:dyDescent="0.25">
      <c r="A896" s="3">
        <v>1006</v>
      </c>
      <c r="B896" s="1">
        <v>45074</v>
      </c>
      <c r="C896" t="s">
        <v>14</v>
      </c>
      <c r="D896" t="s">
        <v>15</v>
      </c>
      <c r="E896" s="2">
        <f>Table1[[#This Row],[Quantity_Sold]] * Table1[[#This Row],[Unit_Price]] * (1 - (Table1[[#This Row],[Discount]] / 100))</f>
        <v>54052.263199000001</v>
      </c>
      <c r="F896" s="2">
        <f>Table1[[#This Row],[Quantity_Sold]] * ((Table1[[#This Row],[Unit_Price]] * (1 - (Table1[[#This Row],[Discount]] / 100))) - Table1[[#This Row],[Unit_Cost]])</f>
        <v>3863.8831990000026</v>
      </c>
      <c r="G896" s="3">
        <v>11</v>
      </c>
      <c r="H896" t="s">
        <v>26</v>
      </c>
      <c r="I896">
        <v>4562.58</v>
      </c>
      <c r="J896" s="2">
        <v>4925.17</v>
      </c>
      <c r="K896" t="s">
        <v>30</v>
      </c>
      <c r="L896" s="4">
        <v>0.23</v>
      </c>
      <c r="M896" t="s">
        <v>18</v>
      </c>
      <c r="N896" t="s">
        <v>22</v>
      </c>
      <c r="O896" t="s">
        <v>20</v>
      </c>
    </row>
    <row r="897" spans="1:15" x14ac:dyDescent="0.25">
      <c r="A897" s="3">
        <v>1053</v>
      </c>
      <c r="B897" s="1">
        <v>45087</v>
      </c>
      <c r="C897" t="s">
        <v>33</v>
      </c>
      <c r="D897" t="s">
        <v>34</v>
      </c>
      <c r="E897" s="2">
        <f>Table1[[#This Row],[Quantity_Sold]] * Table1[[#This Row],[Unit_Price]] * (1 - (Table1[[#This Row],[Discount]] / 100))</f>
        <v>188031.08282400001</v>
      </c>
      <c r="F897" s="2">
        <f>Table1[[#This Row],[Quantity_Sold]] * ((Table1[[#This Row],[Unit_Price]] * (1 - (Table1[[#This Row],[Discount]] / 100))) - Table1[[#This Row],[Unit_Cost]])</f>
        <v>6927.9528239999954</v>
      </c>
      <c r="G897" s="3">
        <v>39</v>
      </c>
      <c r="H897" t="s">
        <v>16</v>
      </c>
      <c r="I897">
        <v>4643.67</v>
      </c>
      <c r="J897" s="2">
        <v>4829.5200000000004</v>
      </c>
      <c r="K897" t="s">
        <v>17</v>
      </c>
      <c r="L897" s="4">
        <v>0.17</v>
      </c>
      <c r="M897" t="s">
        <v>27</v>
      </c>
      <c r="N897" t="s">
        <v>19</v>
      </c>
      <c r="O897" t="s">
        <v>36</v>
      </c>
    </row>
    <row r="898" spans="1:15" x14ac:dyDescent="0.25">
      <c r="A898" s="3">
        <v>1066</v>
      </c>
      <c r="B898" s="1">
        <v>45128</v>
      </c>
      <c r="C898" t="s">
        <v>33</v>
      </c>
      <c r="D898" t="s">
        <v>34</v>
      </c>
      <c r="E898" s="2">
        <f>Table1[[#This Row],[Quantity_Sold]] * Table1[[#This Row],[Unit_Price]] * (1 - (Table1[[#This Row],[Discount]] / 100))</f>
        <v>4701.1068999999998</v>
      </c>
      <c r="F898" s="2">
        <f>Table1[[#This Row],[Quantity_Sold]] * ((Table1[[#This Row],[Unit_Price]] * (1 - (Table1[[#This Row],[Discount]] / 100))) - Table1[[#This Row],[Unit_Cost]])</f>
        <v>1225.7868999999996</v>
      </c>
      <c r="G898" s="3">
        <v>4</v>
      </c>
      <c r="H898" t="s">
        <v>16</v>
      </c>
      <c r="I898">
        <v>868.83</v>
      </c>
      <c r="J898" s="2">
        <v>1177.75</v>
      </c>
      <c r="K898" t="s">
        <v>17</v>
      </c>
      <c r="L898" s="4">
        <v>0.21</v>
      </c>
      <c r="M898" t="s">
        <v>31</v>
      </c>
      <c r="N898" t="s">
        <v>22</v>
      </c>
      <c r="O898" t="s">
        <v>36</v>
      </c>
    </row>
    <row r="899" spans="1:15" x14ac:dyDescent="0.25">
      <c r="A899" s="3">
        <v>1077</v>
      </c>
      <c r="B899" s="1">
        <v>45168</v>
      </c>
      <c r="C899" t="s">
        <v>42</v>
      </c>
      <c r="D899" t="s">
        <v>21</v>
      </c>
      <c r="E899" s="2">
        <f>Table1[[#This Row],[Quantity_Sold]] * Table1[[#This Row],[Unit_Price]] * (1 - (Table1[[#This Row],[Discount]] / 100))</f>
        <v>6461.9958999999744</v>
      </c>
      <c r="F899" s="2">
        <f>Table1[[#This Row],[Quantity_Sold]] * ((Table1[[#This Row],[Unit_Price]] * (1 - (Table1[[#This Row],[Discount]] / 100))) - Table1[[#This Row],[Unit_Cost]])</f>
        <v>4924.4958999999753</v>
      </c>
      <c r="G899" s="3">
        <v>25</v>
      </c>
      <c r="H899" t="s">
        <v>35</v>
      </c>
      <c r="I899">
        <v>61.5</v>
      </c>
      <c r="J899" s="2">
        <v>258.91999999999899</v>
      </c>
      <c r="K899" t="s">
        <v>30</v>
      </c>
      <c r="L899" s="4">
        <v>0.17</v>
      </c>
      <c r="M899" t="s">
        <v>31</v>
      </c>
      <c r="N899" t="s">
        <v>19</v>
      </c>
      <c r="O899" t="s">
        <v>51</v>
      </c>
    </row>
    <row r="900" spans="1:15" x14ac:dyDescent="0.25">
      <c r="A900" s="3">
        <v>1043</v>
      </c>
      <c r="B900" s="1">
        <v>45279</v>
      </c>
      <c r="C900" t="s">
        <v>38</v>
      </c>
      <c r="D900" t="s">
        <v>25</v>
      </c>
      <c r="E900" s="2">
        <f>Table1[[#This Row],[Quantity_Sold]] * Table1[[#This Row],[Unit_Price]] * (1 - (Table1[[#This Row],[Discount]] / 100))</f>
        <v>60828.152064000002</v>
      </c>
      <c r="F900" s="2">
        <f>Table1[[#This Row],[Quantity_Sold]] * ((Table1[[#This Row],[Unit_Price]] * (1 - (Table1[[#This Row],[Discount]] / 100))) - Table1[[#This Row],[Unit_Cost]])</f>
        <v>1782.6320640000085</v>
      </c>
      <c r="G900" s="3">
        <v>12</v>
      </c>
      <c r="H900" t="s">
        <v>35</v>
      </c>
      <c r="I900">
        <v>4920.46</v>
      </c>
      <c r="J900" s="2">
        <v>5079.68</v>
      </c>
      <c r="K900" t="s">
        <v>30</v>
      </c>
      <c r="L900" s="4">
        <v>0.21</v>
      </c>
      <c r="M900" t="s">
        <v>31</v>
      </c>
      <c r="N900" t="s">
        <v>22</v>
      </c>
      <c r="O900" t="s">
        <v>39</v>
      </c>
    </row>
    <row r="901" spans="1:15" x14ac:dyDescent="0.25">
      <c r="A901" s="3">
        <v>1075</v>
      </c>
      <c r="B901" s="1">
        <v>44928</v>
      </c>
      <c r="C901" t="s">
        <v>24</v>
      </c>
      <c r="D901" t="s">
        <v>21</v>
      </c>
      <c r="E901" s="2">
        <f>Table1[[#This Row],[Quantity_Sold]] * Table1[[#This Row],[Unit_Price]] * (1 - (Table1[[#This Row],[Discount]] / 100))</f>
        <v>118496.56000000001</v>
      </c>
      <c r="F901" s="2">
        <f>Table1[[#This Row],[Quantity_Sold]] * ((Table1[[#This Row],[Unit_Price]] * (1 - (Table1[[#This Row],[Discount]] / 100))) - Table1[[#This Row],[Unit_Cost]])</f>
        <v>576.68000000000757</v>
      </c>
      <c r="G901" s="3">
        <v>26</v>
      </c>
      <c r="H901" t="s">
        <v>35</v>
      </c>
      <c r="I901">
        <v>4535.38</v>
      </c>
      <c r="J901" s="2">
        <v>4557.5600000000004</v>
      </c>
      <c r="K901" t="s">
        <v>30</v>
      </c>
      <c r="L901" s="4">
        <v>0</v>
      </c>
      <c r="M901" t="s">
        <v>31</v>
      </c>
      <c r="N901" t="s">
        <v>19</v>
      </c>
      <c r="O901" t="s">
        <v>47</v>
      </c>
    </row>
    <row r="902" spans="1:15" x14ac:dyDescent="0.25">
      <c r="A902" s="3">
        <v>1023</v>
      </c>
      <c r="B902" s="1">
        <v>45151</v>
      </c>
      <c r="C902" t="s">
        <v>14</v>
      </c>
      <c r="D902" t="s">
        <v>34</v>
      </c>
      <c r="E902" s="2">
        <f>Table1[[#This Row],[Quantity_Sold]] * Table1[[#This Row],[Unit_Price]] * (1 - (Table1[[#This Row],[Discount]] / 100))</f>
        <v>12746.270231999999</v>
      </c>
      <c r="F902" s="2">
        <f>Table1[[#This Row],[Quantity_Sold]] * ((Table1[[#This Row],[Unit_Price]] * (1 - (Table1[[#This Row],[Discount]] / 100))) - Table1[[#This Row],[Unit_Cost]])</f>
        <v>417.17023199999971</v>
      </c>
      <c r="G902" s="3">
        <v>38</v>
      </c>
      <c r="H902" t="s">
        <v>29</v>
      </c>
      <c r="I902">
        <v>324.45</v>
      </c>
      <c r="J902" s="2">
        <v>336.37</v>
      </c>
      <c r="K902" t="s">
        <v>30</v>
      </c>
      <c r="L902" s="4">
        <v>0.28000000000000003</v>
      </c>
      <c r="M902" t="s">
        <v>31</v>
      </c>
      <c r="N902" t="s">
        <v>22</v>
      </c>
      <c r="O902" t="s">
        <v>46</v>
      </c>
    </row>
    <row r="903" spans="1:15" x14ac:dyDescent="0.25">
      <c r="A903" s="3">
        <v>1055</v>
      </c>
      <c r="B903" s="1">
        <v>45215</v>
      </c>
      <c r="C903" t="s">
        <v>24</v>
      </c>
      <c r="D903" t="s">
        <v>34</v>
      </c>
      <c r="E903" s="2">
        <f>Table1[[#This Row],[Quantity_Sold]] * Table1[[#This Row],[Unit_Price]] * (1 - (Table1[[#This Row],[Discount]] / 100))</f>
        <v>197503.83107000001</v>
      </c>
      <c r="F903" s="2">
        <f>Table1[[#This Row],[Quantity_Sold]] * ((Table1[[#This Row],[Unit_Price]] * (1 - (Table1[[#This Row],[Discount]] / 100))) - Table1[[#This Row],[Unit_Cost]])</f>
        <v>5521.9110700000019</v>
      </c>
      <c r="G903" s="3">
        <v>46</v>
      </c>
      <c r="H903" t="s">
        <v>29</v>
      </c>
      <c r="I903">
        <v>4173.5200000000004</v>
      </c>
      <c r="J903" s="2">
        <v>4294.8500000000004</v>
      </c>
      <c r="K903" t="s">
        <v>17</v>
      </c>
      <c r="L903" s="4">
        <v>0.03</v>
      </c>
      <c r="M903" t="s">
        <v>27</v>
      </c>
      <c r="N903" t="s">
        <v>22</v>
      </c>
      <c r="O903" t="s">
        <v>50</v>
      </c>
    </row>
    <row r="904" spans="1:15" x14ac:dyDescent="0.25">
      <c r="A904" s="3">
        <v>1080</v>
      </c>
      <c r="B904" s="1">
        <v>45159</v>
      </c>
      <c r="C904" t="s">
        <v>24</v>
      </c>
      <c r="D904" t="s">
        <v>25</v>
      </c>
      <c r="E904" s="2">
        <f>Table1[[#This Row],[Quantity_Sold]] * Table1[[#This Row],[Unit_Price]] * (1 - (Table1[[#This Row],[Discount]] / 100))</f>
        <v>30266.876111999998</v>
      </c>
      <c r="F904" s="2">
        <f>Table1[[#This Row],[Quantity_Sold]] * ((Table1[[#This Row],[Unit_Price]] * (1 - (Table1[[#This Row],[Discount]] / 100))) - Table1[[#This Row],[Unit_Cost]])</f>
        <v>2473.3161120000004</v>
      </c>
      <c r="G904" s="3">
        <v>12</v>
      </c>
      <c r="H904" t="s">
        <v>35</v>
      </c>
      <c r="I904">
        <v>2316.13</v>
      </c>
      <c r="J904" s="2">
        <v>2525.27</v>
      </c>
      <c r="K904" t="s">
        <v>17</v>
      </c>
      <c r="L904" s="4">
        <v>0.12</v>
      </c>
      <c r="M904" t="s">
        <v>31</v>
      </c>
      <c r="N904" t="s">
        <v>22</v>
      </c>
      <c r="O904" t="s">
        <v>28</v>
      </c>
    </row>
    <row r="905" spans="1:15" x14ac:dyDescent="0.25">
      <c r="A905" s="3">
        <v>1095</v>
      </c>
      <c r="B905" s="1">
        <v>45003</v>
      </c>
      <c r="C905" t="s">
        <v>38</v>
      </c>
      <c r="D905" t="s">
        <v>25</v>
      </c>
      <c r="E905" s="2">
        <f>Table1[[#This Row],[Quantity_Sold]] * Table1[[#This Row],[Unit_Price]] * (1 - (Table1[[#This Row],[Discount]] / 100))</f>
        <v>75462.176877999998</v>
      </c>
      <c r="F905" s="2">
        <f>Table1[[#This Row],[Quantity_Sold]] * ((Table1[[#This Row],[Unit_Price]] * (1 - (Table1[[#This Row],[Discount]] / 100))) - Table1[[#This Row],[Unit_Cost]])</f>
        <v>18192.196878000006</v>
      </c>
      <c r="G905" s="3">
        <v>43</v>
      </c>
      <c r="H905" t="s">
        <v>16</v>
      </c>
      <c r="I905">
        <v>1331.86</v>
      </c>
      <c r="J905" s="2">
        <v>1758.98</v>
      </c>
      <c r="K905" t="s">
        <v>17</v>
      </c>
      <c r="L905" s="4">
        <v>0.23</v>
      </c>
      <c r="M905" t="s">
        <v>27</v>
      </c>
      <c r="N905" t="s">
        <v>22</v>
      </c>
      <c r="O905" t="s">
        <v>39</v>
      </c>
    </row>
    <row r="906" spans="1:15" x14ac:dyDescent="0.25">
      <c r="A906" s="3">
        <v>1075</v>
      </c>
      <c r="B906" s="1">
        <v>45042</v>
      </c>
      <c r="C906" t="s">
        <v>24</v>
      </c>
      <c r="D906" t="s">
        <v>25</v>
      </c>
      <c r="E906" s="2">
        <f>Table1[[#This Row],[Quantity_Sold]] * Table1[[#This Row],[Unit_Price]] * (1 - (Table1[[#This Row],[Discount]] / 100))</f>
        <v>177408.28901400001</v>
      </c>
      <c r="F906" s="2">
        <f>Table1[[#This Row],[Quantity_Sold]] * ((Table1[[#This Row],[Unit_Price]] * (1 - (Table1[[#This Row],[Discount]] / 100))) - Table1[[#This Row],[Unit_Cost]])</f>
        <v>14615.689014000018</v>
      </c>
      <c r="G906" s="3">
        <v>37</v>
      </c>
      <c r="H906" t="s">
        <v>35</v>
      </c>
      <c r="I906">
        <v>4399.8</v>
      </c>
      <c r="J906" s="2">
        <v>4801.0600000000004</v>
      </c>
      <c r="K906" t="s">
        <v>30</v>
      </c>
      <c r="L906" s="4">
        <v>0.13</v>
      </c>
      <c r="M906" t="s">
        <v>27</v>
      </c>
      <c r="N906" t="s">
        <v>22</v>
      </c>
      <c r="O906" t="s">
        <v>28</v>
      </c>
    </row>
    <row r="907" spans="1:15" x14ac:dyDescent="0.25">
      <c r="A907" s="3">
        <v>1016</v>
      </c>
      <c r="B907" s="1">
        <v>45080</v>
      </c>
      <c r="C907" t="s">
        <v>24</v>
      </c>
      <c r="D907" t="s">
        <v>21</v>
      </c>
      <c r="E907" s="2">
        <f>Table1[[#This Row],[Quantity_Sold]] * Table1[[#This Row],[Unit_Price]] * (1 - (Table1[[#This Row],[Discount]] / 100))</f>
        <v>53412.883992000003</v>
      </c>
      <c r="F907" s="2">
        <f>Table1[[#This Row],[Quantity_Sold]] * ((Table1[[#This Row],[Unit_Price]] * (1 - (Table1[[#This Row],[Discount]] / 100))) - Table1[[#This Row],[Unit_Cost]])</f>
        <v>6331.8839920000028</v>
      </c>
      <c r="G907" s="3">
        <v>46</v>
      </c>
      <c r="H907" t="s">
        <v>29</v>
      </c>
      <c r="I907">
        <v>1023.5</v>
      </c>
      <c r="J907" s="2">
        <v>1164.4100000000001</v>
      </c>
      <c r="K907" t="s">
        <v>17</v>
      </c>
      <c r="L907" s="4">
        <v>0.28000000000000003</v>
      </c>
      <c r="M907" t="s">
        <v>31</v>
      </c>
      <c r="N907" t="s">
        <v>22</v>
      </c>
      <c r="O907" t="s">
        <v>47</v>
      </c>
    </row>
    <row r="908" spans="1:15" x14ac:dyDescent="0.25">
      <c r="A908" s="3">
        <v>1008</v>
      </c>
      <c r="B908" s="1">
        <v>45029</v>
      </c>
      <c r="C908" t="s">
        <v>33</v>
      </c>
      <c r="D908" t="s">
        <v>25</v>
      </c>
      <c r="E908" s="2">
        <f>Table1[[#This Row],[Quantity_Sold]] * Table1[[#This Row],[Unit_Price]] * (1 - (Table1[[#This Row],[Discount]] / 100))</f>
        <v>116691.20327999999</v>
      </c>
      <c r="F908" s="2">
        <f>Table1[[#This Row],[Quantity_Sold]] * ((Table1[[#This Row],[Unit_Price]] * (1 - (Table1[[#This Row],[Discount]] / 100))) - Table1[[#This Row],[Unit_Cost]])</f>
        <v>2952.0832799999916</v>
      </c>
      <c r="G908" s="3">
        <v>24</v>
      </c>
      <c r="H908" t="s">
        <v>16</v>
      </c>
      <c r="I908">
        <v>4739.13</v>
      </c>
      <c r="J908" s="2">
        <v>4868.95</v>
      </c>
      <c r="K908" t="s">
        <v>30</v>
      </c>
      <c r="L908" s="4">
        <v>0.14000000000000001</v>
      </c>
      <c r="M908" t="s">
        <v>31</v>
      </c>
      <c r="N908" t="s">
        <v>22</v>
      </c>
      <c r="O908" t="s">
        <v>44</v>
      </c>
    </row>
    <row r="909" spans="1:15" x14ac:dyDescent="0.25">
      <c r="A909" s="3">
        <v>1004</v>
      </c>
      <c r="B909" s="1">
        <v>45120</v>
      </c>
      <c r="C909" t="s">
        <v>38</v>
      </c>
      <c r="D909" t="s">
        <v>34</v>
      </c>
      <c r="E909" s="2">
        <f>Table1[[#This Row],[Quantity_Sold]] * Table1[[#This Row],[Unit_Price]] * (1 - (Table1[[#This Row],[Discount]] / 100))</f>
        <v>18978.048447999998</v>
      </c>
      <c r="F909" s="2">
        <f>Table1[[#This Row],[Quantity_Sold]] * ((Table1[[#This Row],[Unit_Price]] * (1 - (Table1[[#This Row],[Discount]] / 100))) - Table1[[#This Row],[Unit_Cost]])</f>
        <v>1892.7684479999989</v>
      </c>
      <c r="G909" s="3">
        <v>16</v>
      </c>
      <c r="H909" t="s">
        <v>29</v>
      </c>
      <c r="I909">
        <v>1067.83</v>
      </c>
      <c r="J909" s="2">
        <v>1189.22</v>
      </c>
      <c r="K909" t="s">
        <v>17</v>
      </c>
      <c r="L909" s="4">
        <v>0.26</v>
      </c>
      <c r="M909" t="s">
        <v>31</v>
      </c>
      <c r="N909" t="s">
        <v>22</v>
      </c>
      <c r="O909" t="s">
        <v>48</v>
      </c>
    </row>
    <row r="910" spans="1:15" x14ac:dyDescent="0.25">
      <c r="A910" s="3">
        <v>1004</v>
      </c>
      <c r="B910" s="1">
        <v>45092</v>
      </c>
      <c r="C910" t="s">
        <v>42</v>
      </c>
      <c r="D910" t="s">
        <v>34</v>
      </c>
      <c r="E910" s="2">
        <f>Table1[[#This Row],[Quantity_Sold]] * Table1[[#This Row],[Unit_Price]] * (1 - (Table1[[#This Row],[Discount]] / 100))</f>
        <v>42329.644448000006</v>
      </c>
      <c r="F910" s="2">
        <f>Table1[[#This Row],[Quantity_Sold]] * ((Table1[[#This Row],[Unit_Price]] * (1 - (Table1[[#This Row],[Discount]] / 100))) - Table1[[#This Row],[Unit_Cost]])</f>
        <v>2189.1544480000039</v>
      </c>
      <c r="G910" s="3">
        <v>13</v>
      </c>
      <c r="H910" t="s">
        <v>16</v>
      </c>
      <c r="I910">
        <v>3087.73</v>
      </c>
      <c r="J910" s="2">
        <v>3263.96</v>
      </c>
      <c r="K910" t="s">
        <v>30</v>
      </c>
      <c r="L910" s="4">
        <v>0.24</v>
      </c>
      <c r="M910" t="s">
        <v>18</v>
      </c>
      <c r="N910" t="s">
        <v>22</v>
      </c>
      <c r="O910" t="s">
        <v>52</v>
      </c>
    </row>
    <row r="911" spans="1:15" x14ac:dyDescent="0.25">
      <c r="A911" s="3">
        <v>1056</v>
      </c>
      <c r="B911" s="1">
        <v>45285</v>
      </c>
      <c r="C911" t="s">
        <v>14</v>
      </c>
      <c r="D911" t="s">
        <v>15</v>
      </c>
      <c r="E911" s="2">
        <f>Table1[[#This Row],[Quantity_Sold]] * Table1[[#This Row],[Unit_Price]] * (1 - (Table1[[#This Row],[Discount]] / 100))</f>
        <v>35107.890999999996</v>
      </c>
      <c r="F911" s="2">
        <f>Table1[[#This Row],[Quantity_Sold]] * ((Table1[[#This Row],[Unit_Price]] * (1 - (Table1[[#This Row],[Discount]] / 100))) - Table1[[#This Row],[Unit_Cost]])</f>
        <v>6250.8910000000014</v>
      </c>
      <c r="G911" s="3">
        <v>25</v>
      </c>
      <c r="H911" t="s">
        <v>29</v>
      </c>
      <c r="I911">
        <v>1154.28</v>
      </c>
      <c r="J911" s="2">
        <v>1408.4</v>
      </c>
      <c r="K911" t="s">
        <v>17</v>
      </c>
      <c r="L911" s="4">
        <v>0.28999999999999998</v>
      </c>
      <c r="M911" t="s">
        <v>27</v>
      </c>
      <c r="N911" t="s">
        <v>22</v>
      </c>
      <c r="O911" t="s">
        <v>20</v>
      </c>
    </row>
    <row r="912" spans="1:15" x14ac:dyDescent="0.25">
      <c r="A912" s="3">
        <v>1025</v>
      </c>
      <c r="B912" s="1">
        <v>45016</v>
      </c>
      <c r="C912" t="s">
        <v>24</v>
      </c>
      <c r="D912" t="s">
        <v>21</v>
      </c>
      <c r="E912" s="2">
        <f>Table1[[#This Row],[Quantity_Sold]] * Table1[[#This Row],[Unit_Price]] * (1 - (Table1[[#This Row],[Discount]] / 100))</f>
        <v>11870.708687999961</v>
      </c>
      <c r="F912" s="2">
        <f>Table1[[#This Row],[Quantity_Sold]] * ((Table1[[#This Row],[Unit_Price]] * (1 - (Table1[[#This Row],[Discount]] / 100))) - Table1[[#This Row],[Unit_Cost]])</f>
        <v>866.46868799996082</v>
      </c>
      <c r="G912" s="3">
        <v>4</v>
      </c>
      <c r="H912" t="s">
        <v>16</v>
      </c>
      <c r="I912">
        <v>2751.06</v>
      </c>
      <c r="J912" s="2">
        <v>2976.0099999999902</v>
      </c>
      <c r="K912" t="s">
        <v>17</v>
      </c>
      <c r="L912" s="4">
        <v>0.28000000000000003</v>
      </c>
      <c r="M912" t="s">
        <v>31</v>
      </c>
      <c r="N912" t="s">
        <v>19</v>
      </c>
      <c r="O912" t="s">
        <v>47</v>
      </c>
    </row>
    <row r="913" spans="1:15" x14ac:dyDescent="0.25">
      <c r="A913" s="3">
        <v>1067</v>
      </c>
      <c r="B913" s="1">
        <v>45100</v>
      </c>
      <c r="C913" t="s">
        <v>14</v>
      </c>
      <c r="D913" t="s">
        <v>15</v>
      </c>
      <c r="E913" s="2">
        <f>Table1[[#This Row],[Quantity_Sold]] * Table1[[#This Row],[Unit_Price]] * (1 - (Table1[[#This Row],[Discount]] / 100))</f>
        <v>38973.416888999891</v>
      </c>
      <c r="F913" s="2">
        <f>Table1[[#This Row],[Quantity_Sold]] * ((Table1[[#This Row],[Unit_Price]] * (1 - (Table1[[#This Row],[Discount]] / 100))) - Table1[[#This Row],[Unit_Cost]])</f>
        <v>1180.9368889998909</v>
      </c>
      <c r="G913" s="3">
        <v>11</v>
      </c>
      <c r="H913" t="s">
        <v>16</v>
      </c>
      <c r="I913">
        <v>3435.68</v>
      </c>
      <c r="J913" s="2">
        <v>3552.6299999999901</v>
      </c>
      <c r="K913" t="s">
        <v>30</v>
      </c>
      <c r="L913" s="4">
        <v>0.27</v>
      </c>
      <c r="M913" t="s">
        <v>18</v>
      </c>
      <c r="N913" t="s">
        <v>22</v>
      </c>
      <c r="O913" t="s">
        <v>20</v>
      </c>
    </row>
    <row r="914" spans="1:15" x14ac:dyDescent="0.25">
      <c r="A914" s="3">
        <v>1096</v>
      </c>
      <c r="B914" s="1">
        <v>45048</v>
      </c>
      <c r="C914" t="s">
        <v>42</v>
      </c>
      <c r="D914" t="s">
        <v>34</v>
      </c>
      <c r="E914" s="2">
        <f>Table1[[#This Row],[Quantity_Sold]] * Table1[[#This Row],[Unit_Price]] * (1 - (Table1[[#This Row],[Discount]] / 100))</f>
        <v>34022.585279999999</v>
      </c>
      <c r="F914" s="2">
        <f>Table1[[#This Row],[Quantity_Sold]] * ((Table1[[#This Row],[Unit_Price]] * (1 - (Table1[[#This Row],[Discount]] / 100))) - Table1[[#This Row],[Unit_Cost]])</f>
        <v>2290.4252799999995</v>
      </c>
      <c r="G914" s="3">
        <v>32</v>
      </c>
      <c r="H914" t="s">
        <v>16</v>
      </c>
      <c r="I914">
        <v>991.63</v>
      </c>
      <c r="J914" s="2">
        <v>1065.55</v>
      </c>
      <c r="K914" t="s">
        <v>17</v>
      </c>
      <c r="L914" s="4">
        <v>0.22</v>
      </c>
      <c r="M914" t="s">
        <v>27</v>
      </c>
      <c r="N914" t="s">
        <v>22</v>
      </c>
      <c r="O914" t="s">
        <v>52</v>
      </c>
    </row>
    <row r="915" spans="1:15" x14ac:dyDescent="0.25">
      <c r="A915" s="3">
        <v>1067</v>
      </c>
      <c r="B915" s="1">
        <v>45069</v>
      </c>
      <c r="C915" t="s">
        <v>14</v>
      </c>
      <c r="D915" t="s">
        <v>15</v>
      </c>
      <c r="E915" s="2">
        <f>Table1[[#This Row],[Quantity_Sold]] * Table1[[#This Row],[Unit_Price]] * (1 - (Table1[[#This Row],[Discount]] / 100))</f>
        <v>129439.91929399999</v>
      </c>
      <c r="F915" s="2">
        <f>Table1[[#This Row],[Quantity_Sold]] * ((Table1[[#This Row],[Unit_Price]] * (1 - (Table1[[#This Row],[Discount]] / 100))) - Table1[[#This Row],[Unit_Cost]])</f>
        <v>649.2992939999981</v>
      </c>
      <c r="G915" s="3">
        <v>49</v>
      </c>
      <c r="H915" t="s">
        <v>16</v>
      </c>
      <c r="I915">
        <v>2628.38</v>
      </c>
      <c r="J915" s="2">
        <v>2644.54</v>
      </c>
      <c r="K915" t="s">
        <v>17</v>
      </c>
      <c r="L915" s="4">
        <v>0.11</v>
      </c>
      <c r="M915" t="s">
        <v>18</v>
      </c>
      <c r="N915" t="s">
        <v>19</v>
      </c>
      <c r="O915" t="s">
        <v>20</v>
      </c>
    </row>
    <row r="916" spans="1:15" x14ac:dyDescent="0.25">
      <c r="A916" s="3">
        <v>1027</v>
      </c>
      <c r="B916" s="1">
        <v>45032</v>
      </c>
      <c r="C916" t="s">
        <v>42</v>
      </c>
      <c r="D916" t="s">
        <v>34</v>
      </c>
      <c r="E916" s="2">
        <f>Table1[[#This Row],[Quantity_Sold]] * Table1[[#This Row],[Unit_Price]] * (1 - (Table1[[#This Row],[Discount]] / 100))</f>
        <v>17195.869691</v>
      </c>
      <c r="F916" s="2">
        <f>Table1[[#This Row],[Quantity_Sold]] * ((Table1[[#This Row],[Unit_Price]] * (1 - (Table1[[#This Row],[Discount]] / 100))) - Table1[[#This Row],[Unit_Cost]])</f>
        <v>592.91969100000233</v>
      </c>
      <c r="G916" s="3">
        <v>7</v>
      </c>
      <c r="H916" t="s">
        <v>26</v>
      </c>
      <c r="I916">
        <v>2371.85</v>
      </c>
      <c r="J916" s="2">
        <v>2457.29</v>
      </c>
      <c r="K916" t="s">
        <v>30</v>
      </c>
      <c r="L916" s="4">
        <v>0.03</v>
      </c>
      <c r="M916" t="s">
        <v>18</v>
      </c>
      <c r="N916" t="s">
        <v>22</v>
      </c>
      <c r="O916" t="s">
        <v>52</v>
      </c>
    </row>
    <row r="917" spans="1:15" x14ac:dyDescent="0.25">
      <c r="A917" s="3">
        <v>1093</v>
      </c>
      <c r="B917" s="1">
        <v>45231</v>
      </c>
      <c r="C917" t="s">
        <v>33</v>
      </c>
      <c r="D917" t="s">
        <v>15</v>
      </c>
      <c r="E917" s="2">
        <f>Table1[[#This Row],[Quantity_Sold]] * Table1[[#This Row],[Unit_Price]] * (1 - (Table1[[#This Row],[Discount]] / 100))</f>
        <v>34760.808683999996</v>
      </c>
      <c r="F917" s="2">
        <f>Table1[[#This Row],[Quantity_Sold]] * ((Table1[[#This Row],[Unit_Price]] * (1 - (Table1[[#This Row],[Discount]] / 100))) - Table1[[#This Row],[Unit_Cost]])</f>
        <v>16285.368684000001</v>
      </c>
      <c r="G917" s="3">
        <v>46</v>
      </c>
      <c r="H917" t="s">
        <v>29</v>
      </c>
      <c r="I917">
        <v>401.64</v>
      </c>
      <c r="J917" s="2">
        <v>757.26</v>
      </c>
      <c r="K917" t="s">
        <v>30</v>
      </c>
      <c r="L917" s="4">
        <v>0.21</v>
      </c>
      <c r="M917" t="s">
        <v>31</v>
      </c>
      <c r="N917" t="s">
        <v>22</v>
      </c>
      <c r="O917" t="s">
        <v>53</v>
      </c>
    </row>
    <row r="918" spans="1:15" x14ac:dyDescent="0.25">
      <c r="A918" s="3">
        <v>1032</v>
      </c>
      <c r="B918" s="1">
        <v>45286</v>
      </c>
      <c r="C918" t="s">
        <v>24</v>
      </c>
      <c r="D918" t="s">
        <v>25</v>
      </c>
      <c r="E918" s="2">
        <f>Table1[[#This Row],[Quantity_Sold]] * Table1[[#This Row],[Unit_Price]] * (1 - (Table1[[#This Row],[Discount]] / 100))</f>
        <v>46395.063000000002</v>
      </c>
      <c r="F918" s="2">
        <f>Table1[[#This Row],[Quantity_Sold]] * ((Table1[[#This Row],[Unit_Price]] * (1 - (Table1[[#This Row],[Discount]] / 100))) - Table1[[#This Row],[Unit_Cost]])</f>
        <v>1288.2430000000031</v>
      </c>
      <c r="G918" s="3">
        <v>11</v>
      </c>
      <c r="H918" t="s">
        <v>29</v>
      </c>
      <c r="I918">
        <v>4100.62</v>
      </c>
      <c r="J918" s="2">
        <v>4230</v>
      </c>
      <c r="K918" t="s">
        <v>30</v>
      </c>
      <c r="L918" s="4">
        <v>0.28999999999999998</v>
      </c>
      <c r="M918" t="s">
        <v>27</v>
      </c>
      <c r="N918" t="s">
        <v>19</v>
      </c>
      <c r="O918" t="s">
        <v>28</v>
      </c>
    </row>
    <row r="919" spans="1:15" x14ac:dyDescent="0.25">
      <c r="A919" s="3">
        <v>1050</v>
      </c>
      <c r="B919" s="1">
        <v>45243</v>
      </c>
      <c r="C919" t="s">
        <v>42</v>
      </c>
      <c r="D919" t="s">
        <v>15</v>
      </c>
      <c r="E919" s="2">
        <f>Table1[[#This Row],[Quantity_Sold]] * Table1[[#This Row],[Unit_Price]] * (1 - (Table1[[#This Row],[Discount]] / 100))</f>
        <v>54514.523616000006</v>
      </c>
      <c r="F919" s="2">
        <f>Table1[[#This Row],[Quantity_Sold]] * ((Table1[[#This Row],[Unit_Price]] * (1 - (Table1[[#This Row],[Discount]] / 100))) - Table1[[#This Row],[Unit_Cost]])</f>
        <v>6588.8836160000001</v>
      </c>
      <c r="G919" s="3">
        <v>28</v>
      </c>
      <c r="H919" t="s">
        <v>26</v>
      </c>
      <c r="I919">
        <v>1711.63</v>
      </c>
      <c r="J919" s="2">
        <v>1951.24</v>
      </c>
      <c r="K919" t="s">
        <v>30</v>
      </c>
      <c r="L919" s="4">
        <v>0.22</v>
      </c>
      <c r="M919" t="s">
        <v>18</v>
      </c>
      <c r="N919" t="s">
        <v>19</v>
      </c>
      <c r="O919" t="s">
        <v>49</v>
      </c>
    </row>
    <row r="920" spans="1:15" x14ac:dyDescent="0.25">
      <c r="A920" s="3">
        <v>1061</v>
      </c>
      <c r="B920" s="1">
        <v>45049</v>
      </c>
      <c r="C920" t="s">
        <v>14</v>
      </c>
      <c r="D920" t="s">
        <v>25</v>
      </c>
      <c r="E920" s="2">
        <f>Table1[[#This Row],[Quantity_Sold]] * Table1[[#This Row],[Unit_Price]] * (1 - (Table1[[#This Row],[Discount]] / 100))</f>
        <v>130584.057984</v>
      </c>
      <c r="F920" s="2">
        <f>Table1[[#This Row],[Quantity_Sold]] * ((Table1[[#This Row],[Unit_Price]] * (1 - (Table1[[#This Row],[Discount]] / 100))) - Table1[[#This Row],[Unit_Cost]])</f>
        <v>11922.677983999998</v>
      </c>
      <c r="G920" s="3">
        <v>41</v>
      </c>
      <c r="H920" t="s">
        <v>16</v>
      </c>
      <c r="I920">
        <v>2894.18</v>
      </c>
      <c r="J920" s="2">
        <v>3193.92</v>
      </c>
      <c r="K920" t="s">
        <v>30</v>
      </c>
      <c r="L920" s="4">
        <v>0.28000000000000003</v>
      </c>
      <c r="M920" t="s">
        <v>27</v>
      </c>
      <c r="N920" t="s">
        <v>22</v>
      </c>
      <c r="O920" t="s">
        <v>32</v>
      </c>
    </row>
    <row r="921" spans="1:15" x14ac:dyDescent="0.25">
      <c r="A921" s="3">
        <v>1051</v>
      </c>
      <c r="B921" s="1">
        <v>44935</v>
      </c>
      <c r="C921" t="s">
        <v>24</v>
      </c>
      <c r="D921" t="s">
        <v>25</v>
      </c>
      <c r="E921" s="2">
        <f>Table1[[#This Row],[Quantity_Sold]] * Table1[[#This Row],[Unit_Price]] * (1 - (Table1[[#This Row],[Discount]] / 100))</f>
        <v>69814.831303999992</v>
      </c>
      <c r="F921" s="2">
        <f>Table1[[#This Row],[Quantity_Sold]] * ((Table1[[#This Row],[Unit_Price]] * (1 - (Table1[[#This Row],[Discount]] / 100))) - Table1[[#This Row],[Unit_Cost]])</f>
        <v>10056.691304000013</v>
      </c>
      <c r="G921" s="3">
        <v>23</v>
      </c>
      <c r="H921" t="s">
        <v>16</v>
      </c>
      <c r="I921">
        <v>2598.1799999999998</v>
      </c>
      <c r="J921" s="2">
        <v>3042.73</v>
      </c>
      <c r="K921" t="s">
        <v>17</v>
      </c>
      <c r="L921" s="4">
        <v>0.24</v>
      </c>
      <c r="M921" t="s">
        <v>31</v>
      </c>
      <c r="N921" t="s">
        <v>19</v>
      </c>
      <c r="O921" t="s">
        <v>28</v>
      </c>
    </row>
    <row r="922" spans="1:15" x14ac:dyDescent="0.25">
      <c r="A922" s="3">
        <v>1019</v>
      </c>
      <c r="B922" s="1">
        <v>45188</v>
      </c>
      <c r="C922" t="s">
        <v>33</v>
      </c>
      <c r="D922" t="s">
        <v>21</v>
      </c>
      <c r="E922" s="2">
        <f>Table1[[#This Row],[Quantity_Sold]] * Table1[[#This Row],[Unit_Price]] * (1 - (Table1[[#This Row],[Discount]] / 100))</f>
        <v>136559.78595000002</v>
      </c>
      <c r="F922" s="2">
        <f>Table1[[#This Row],[Quantity_Sold]] * ((Table1[[#This Row],[Unit_Price]] * (1 - (Table1[[#This Row],[Discount]] / 100))) - Table1[[#This Row],[Unit_Cost]])</f>
        <v>19980.985949999998</v>
      </c>
      <c r="G922" s="3">
        <v>45</v>
      </c>
      <c r="H922" t="s">
        <v>29</v>
      </c>
      <c r="I922">
        <v>2590.64</v>
      </c>
      <c r="J922" s="2">
        <v>3036.18</v>
      </c>
      <c r="K922" t="s">
        <v>30</v>
      </c>
      <c r="L922" s="4">
        <v>0.05</v>
      </c>
      <c r="M922" t="s">
        <v>27</v>
      </c>
      <c r="N922" t="s">
        <v>22</v>
      </c>
      <c r="O922" t="s">
        <v>37</v>
      </c>
    </row>
    <row r="923" spans="1:15" x14ac:dyDescent="0.25">
      <c r="A923" s="3">
        <v>1021</v>
      </c>
      <c r="B923" s="1">
        <v>44999</v>
      </c>
      <c r="C923" t="s">
        <v>24</v>
      </c>
      <c r="D923" t="s">
        <v>25</v>
      </c>
      <c r="E923" s="2">
        <f>Table1[[#This Row],[Quantity_Sold]] * Table1[[#This Row],[Unit_Price]] * (1 - (Table1[[#This Row],[Discount]] / 100))</f>
        <v>21976.285823999999</v>
      </c>
      <c r="F923" s="2">
        <f>Table1[[#This Row],[Quantity_Sold]] * ((Table1[[#This Row],[Unit_Price]] * (1 - (Table1[[#This Row],[Discount]] / 100))) - Table1[[#This Row],[Unit_Cost]])</f>
        <v>8619.0358239999987</v>
      </c>
      <c r="G923" s="3">
        <v>23</v>
      </c>
      <c r="H923" t="s">
        <v>26</v>
      </c>
      <c r="I923">
        <v>580.75</v>
      </c>
      <c r="J923" s="2">
        <v>956.16</v>
      </c>
      <c r="K923" t="s">
        <v>17</v>
      </c>
      <c r="L923" s="4">
        <v>7.0000000000000007E-2</v>
      </c>
      <c r="M923" t="s">
        <v>18</v>
      </c>
      <c r="N923" t="s">
        <v>22</v>
      </c>
      <c r="O923" t="s">
        <v>28</v>
      </c>
    </row>
    <row r="924" spans="1:15" x14ac:dyDescent="0.25">
      <c r="A924" s="3">
        <v>1005</v>
      </c>
      <c r="B924" s="1">
        <v>45285</v>
      </c>
      <c r="C924" t="s">
        <v>42</v>
      </c>
      <c r="D924" t="s">
        <v>25</v>
      </c>
      <c r="E924" s="2">
        <f>Table1[[#This Row],[Quantity_Sold]] * Table1[[#This Row],[Unit_Price]] * (1 - (Table1[[#This Row],[Discount]] / 100))</f>
        <v>60796.302839999997</v>
      </c>
      <c r="F924" s="2">
        <f>Table1[[#This Row],[Quantity_Sold]] * ((Table1[[#This Row],[Unit_Price]] * (1 - (Table1[[#This Row],[Discount]] / 100))) - Table1[[#This Row],[Unit_Cost]])</f>
        <v>701.58283999999549</v>
      </c>
      <c r="G924" s="3">
        <v>28</v>
      </c>
      <c r="H924" t="s">
        <v>16</v>
      </c>
      <c r="I924">
        <v>2146.2399999999998</v>
      </c>
      <c r="J924" s="2">
        <v>2173.4699999999998</v>
      </c>
      <c r="K924" t="s">
        <v>17</v>
      </c>
      <c r="L924" s="4">
        <v>0.1</v>
      </c>
      <c r="M924" t="s">
        <v>18</v>
      </c>
      <c r="N924" t="s">
        <v>22</v>
      </c>
      <c r="O924" t="s">
        <v>43</v>
      </c>
    </row>
    <row r="925" spans="1:15" x14ac:dyDescent="0.25">
      <c r="A925" s="3">
        <v>1082</v>
      </c>
      <c r="B925" s="1">
        <v>45149</v>
      </c>
      <c r="C925" t="s">
        <v>33</v>
      </c>
      <c r="D925" t="s">
        <v>15</v>
      </c>
      <c r="E925" s="2">
        <f>Table1[[#This Row],[Quantity_Sold]] * Table1[[#This Row],[Unit_Price]] * (1 - (Table1[[#This Row],[Discount]] / 100))</f>
        <v>110927.50850000001</v>
      </c>
      <c r="F925" s="2">
        <f>Table1[[#This Row],[Quantity_Sold]] * ((Table1[[#This Row],[Unit_Price]] * (1 - (Table1[[#This Row],[Discount]] / 100))) - Table1[[#This Row],[Unit_Cost]])</f>
        <v>12491.048500000006</v>
      </c>
      <c r="G925" s="3">
        <v>43</v>
      </c>
      <c r="H925" t="s">
        <v>16</v>
      </c>
      <c r="I925">
        <v>2289.2199999999998</v>
      </c>
      <c r="J925" s="2">
        <v>2581</v>
      </c>
      <c r="K925" t="s">
        <v>30</v>
      </c>
      <c r="L925" s="4">
        <v>0.05</v>
      </c>
      <c r="M925" t="s">
        <v>27</v>
      </c>
      <c r="N925" t="s">
        <v>19</v>
      </c>
      <c r="O925" t="s">
        <v>53</v>
      </c>
    </row>
    <row r="926" spans="1:15" x14ac:dyDescent="0.25">
      <c r="A926" s="3">
        <v>1092</v>
      </c>
      <c r="B926" s="1">
        <v>44967</v>
      </c>
      <c r="C926" t="s">
        <v>14</v>
      </c>
      <c r="D926" t="s">
        <v>34</v>
      </c>
      <c r="E926" s="2">
        <f>Table1[[#This Row],[Quantity_Sold]] * Table1[[#This Row],[Unit_Price]] * (1 - (Table1[[#This Row],[Discount]] / 100))</f>
        <v>191291.37089599998</v>
      </c>
      <c r="F926" s="2">
        <f>Table1[[#This Row],[Quantity_Sold]] * ((Table1[[#This Row],[Unit_Price]] * (1 - (Table1[[#This Row],[Discount]] / 100))) - Table1[[#This Row],[Unit_Cost]])</f>
        <v>18259.460895999993</v>
      </c>
      <c r="G926" s="3">
        <v>47</v>
      </c>
      <c r="H926" t="s">
        <v>16</v>
      </c>
      <c r="I926">
        <v>3681.53</v>
      </c>
      <c r="J926" s="2">
        <v>4076.96</v>
      </c>
      <c r="K926" t="s">
        <v>17</v>
      </c>
      <c r="L926" s="4">
        <v>0.17</v>
      </c>
      <c r="M926" t="s">
        <v>18</v>
      </c>
      <c r="N926" t="s">
        <v>22</v>
      </c>
      <c r="O926" t="s">
        <v>46</v>
      </c>
    </row>
    <row r="927" spans="1:15" x14ac:dyDescent="0.25">
      <c r="A927" s="3">
        <v>1042</v>
      </c>
      <c r="B927" s="1">
        <v>45130</v>
      </c>
      <c r="C927" t="s">
        <v>33</v>
      </c>
      <c r="D927" t="s">
        <v>21</v>
      </c>
      <c r="E927" s="2">
        <f>Table1[[#This Row],[Quantity_Sold]] * Table1[[#This Row],[Unit_Price]] * (1 - (Table1[[#This Row],[Discount]] / 100))</f>
        <v>109571.877376</v>
      </c>
      <c r="F927" s="2">
        <f>Table1[[#This Row],[Quantity_Sold]] * ((Table1[[#This Row],[Unit_Price]] * (1 - (Table1[[#This Row],[Discount]] / 100))) - Table1[[#This Row],[Unit_Cost]])</f>
        <v>161.53737599999477</v>
      </c>
      <c r="G927" s="3">
        <v>26</v>
      </c>
      <c r="H927" t="s">
        <v>35</v>
      </c>
      <c r="I927">
        <v>4208.09</v>
      </c>
      <c r="J927" s="2">
        <v>4226.5600000000004</v>
      </c>
      <c r="K927" t="s">
        <v>17</v>
      </c>
      <c r="L927" s="4">
        <v>0.28999999999999998</v>
      </c>
      <c r="M927" t="s">
        <v>18</v>
      </c>
      <c r="N927" t="s">
        <v>22</v>
      </c>
      <c r="O927" t="s">
        <v>37</v>
      </c>
    </row>
    <row r="928" spans="1:15" x14ac:dyDescent="0.25">
      <c r="A928" s="3">
        <v>1061</v>
      </c>
      <c r="B928" s="1">
        <v>45190</v>
      </c>
      <c r="C928" t="s">
        <v>33</v>
      </c>
      <c r="D928" t="s">
        <v>25</v>
      </c>
      <c r="E928" s="2">
        <f>Table1[[#This Row],[Quantity_Sold]] * Table1[[#This Row],[Unit_Price]] * (1 - (Table1[[#This Row],[Discount]] / 100))</f>
        <v>75501.196924999749</v>
      </c>
      <c r="F928" s="2">
        <f>Table1[[#This Row],[Quantity_Sold]] * ((Table1[[#This Row],[Unit_Price]] * (1 - (Table1[[#This Row],[Discount]] / 100))) - Table1[[#This Row],[Unit_Cost]])</f>
        <v>6809.6969249997637</v>
      </c>
      <c r="G928" s="3">
        <v>25</v>
      </c>
      <c r="H928" t="s">
        <v>26</v>
      </c>
      <c r="I928">
        <v>2747.66</v>
      </c>
      <c r="J928" s="2">
        <v>3027.0099999999902</v>
      </c>
      <c r="K928" t="s">
        <v>30</v>
      </c>
      <c r="L928" s="4">
        <v>0.23</v>
      </c>
      <c r="M928" t="s">
        <v>18</v>
      </c>
      <c r="N928" t="s">
        <v>19</v>
      </c>
      <c r="O928" t="s">
        <v>44</v>
      </c>
    </row>
    <row r="929" spans="1:15" x14ac:dyDescent="0.25">
      <c r="A929" s="3">
        <v>1022</v>
      </c>
      <c r="B929" s="1">
        <v>45254</v>
      </c>
      <c r="C929" t="s">
        <v>38</v>
      </c>
      <c r="D929" t="s">
        <v>21</v>
      </c>
      <c r="E929" s="2">
        <f>Table1[[#This Row],[Quantity_Sold]] * Table1[[#This Row],[Unit_Price]] * (1 - (Table1[[#This Row],[Discount]] / 100))</f>
        <v>26352.217524</v>
      </c>
      <c r="F929" s="2">
        <f>Table1[[#This Row],[Quantity_Sold]] * ((Table1[[#This Row],[Unit_Price]] * (1 - (Table1[[#This Row],[Discount]] / 100))) - Table1[[#This Row],[Unit_Cost]])</f>
        <v>12444.397524000002</v>
      </c>
      <c r="G929" s="3">
        <v>29</v>
      </c>
      <c r="H929" t="s">
        <v>16</v>
      </c>
      <c r="I929">
        <v>479.58</v>
      </c>
      <c r="J929" s="2">
        <v>909.88</v>
      </c>
      <c r="K929" t="s">
        <v>17</v>
      </c>
      <c r="L929" s="4">
        <v>0.13</v>
      </c>
      <c r="M929" t="s">
        <v>31</v>
      </c>
      <c r="N929" t="s">
        <v>22</v>
      </c>
      <c r="O929" t="s">
        <v>41</v>
      </c>
    </row>
    <row r="930" spans="1:15" x14ac:dyDescent="0.25">
      <c r="A930" s="3">
        <v>1021</v>
      </c>
      <c r="B930" s="1">
        <v>45104</v>
      </c>
      <c r="C930" t="s">
        <v>33</v>
      </c>
      <c r="D930" t="s">
        <v>15</v>
      </c>
      <c r="E930" s="2">
        <f>Table1[[#This Row],[Quantity_Sold]] * Table1[[#This Row],[Unit_Price]] * (1 - (Table1[[#This Row],[Discount]] / 100))</f>
        <v>27829.49</v>
      </c>
      <c r="F930" s="2">
        <f>Table1[[#This Row],[Quantity_Sold]] * ((Table1[[#This Row],[Unit_Price]] * (1 - (Table1[[#This Row],[Discount]] / 100))) - Table1[[#This Row],[Unit_Cost]])</f>
        <v>4603.8899999999994</v>
      </c>
      <c r="G930" s="3">
        <v>19</v>
      </c>
      <c r="H930" t="s">
        <v>35</v>
      </c>
      <c r="I930">
        <v>1222.4000000000001</v>
      </c>
      <c r="J930" s="2">
        <v>1464.71</v>
      </c>
      <c r="K930" t="s">
        <v>30</v>
      </c>
      <c r="L930" s="4">
        <v>0</v>
      </c>
      <c r="M930" t="s">
        <v>31</v>
      </c>
      <c r="N930" t="s">
        <v>22</v>
      </c>
      <c r="O930" t="s">
        <v>53</v>
      </c>
    </row>
    <row r="931" spans="1:15" x14ac:dyDescent="0.25">
      <c r="A931" s="3">
        <v>1070</v>
      </c>
      <c r="B931" s="1">
        <v>45274</v>
      </c>
      <c r="C931" t="s">
        <v>33</v>
      </c>
      <c r="D931" t="s">
        <v>25</v>
      </c>
      <c r="E931" s="2">
        <f>Table1[[#This Row],[Quantity_Sold]] * Table1[[#This Row],[Unit_Price]] * (1 - (Table1[[#This Row],[Discount]] / 100))</f>
        <v>28962.100628999997</v>
      </c>
      <c r="F931" s="2">
        <f>Table1[[#This Row],[Quantity_Sold]] * ((Table1[[#This Row],[Unit_Price]] * (1 - (Table1[[#This Row],[Discount]] / 100))) - Table1[[#This Row],[Unit_Cost]])</f>
        <v>370.24062900000104</v>
      </c>
      <c r="G931" s="3">
        <v>33</v>
      </c>
      <c r="H931" t="s">
        <v>26</v>
      </c>
      <c r="I931">
        <v>866.42</v>
      </c>
      <c r="J931" s="2">
        <v>878.43</v>
      </c>
      <c r="K931" t="s">
        <v>30</v>
      </c>
      <c r="L931" s="4">
        <v>0.09</v>
      </c>
      <c r="M931" t="s">
        <v>18</v>
      </c>
      <c r="N931" t="s">
        <v>22</v>
      </c>
      <c r="O931" t="s">
        <v>44</v>
      </c>
    </row>
    <row r="932" spans="1:15" x14ac:dyDescent="0.25">
      <c r="A932" s="3">
        <v>1001</v>
      </c>
      <c r="B932" s="1">
        <v>45244</v>
      </c>
      <c r="C932" t="s">
        <v>24</v>
      </c>
      <c r="D932" t="s">
        <v>15</v>
      </c>
      <c r="E932" s="2">
        <f>Table1[[#This Row],[Quantity_Sold]] * Table1[[#This Row],[Unit_Price]] * (1 - (Table1[[#This Row],[Discount]] / 100))</f>
        <v>24521.342976</v>
      </c>
      <c r="F932" s="2">
        <f>Table1[[#This Row],[Quantity_Sold]] * ((Table1[[#This Row],[Unit_Price]] * (1 - (Table1[[#This Row],[Discount]] / 100))) - Table1[[#This Row],[Unit_Cost]])</f>
        <v>515.10297599999876</v>
      </c>
      <c r="G932" s="3">
        <v>36</v>
      </c>
      <c r="H932" t="s">
        <v>16</v>
      </c>
      <c r="I932">
        <v>666.84</v>
      </c>
      <c r="J932" s="2">
        <v>682.24</v>
      </c>
      <c r="K932" t="s">
        <v>30</v>
      </c>
      <c r="L932" s="4">
        <v>0.16</v>
      </c>
      <c r="M932" t="s">
        <v>27</v>
      </c>
      <c r="N932" t="s">
        <v>22</v>
      </c>
      <c r="O932" t="s">
        <v>45</v>
      </c>
    </row>
    <row r="933" spans="1:15" x14ac:dyDescent="0.25">
      <c r="A933" s="3">
        <v>1005</v>
      </c>
      <c r="B933" s="1">
        <v>45010</v>
      </c>
      <c r="C933" t="s">
        <v>14</v>
      </c>
      <c r="D933" t="s">
        <v>21</v>
      </c>
      <c r="E933" s="2">
        <f>Table1[[#This Row],[Quantity_Sold]] * Table1[[#This Row],[Unit_Price]] * (1 - (Table1[[#This Row],[Discount]] / 100))</f>
        <v>29025.845099999999</v>
      </c>
      <c r="F933" s="2">
        <f>Table1[[#This Row],[Quantity_Sold]] * ((Table1[[#This Row],[Unit_Price]] * (1 - (Table1[[#This Row],[Discount]] / 100))) - Table1[[#This Row],[Unit_Cost]])</f>
        <v>2969.0450999999971</v>
      </c>
      <c r="G933" s="3">
        <v>14</v>
      </c>
      <c r="H933" t="s">
        <v>29</v>
      </c>
      <c r="I933">
        <v>1861.2</v>
      </c>
      <c r="J933" s="2">
        <v>2075.35</v>
      </c>
      <c r="K933" t="s">
        <v>17</v>
      </c>
      <c r="L933" s="4">
        <v>0.1</v>
      </c>
      <c r="M933" t="s">
        <v>31</v>
      </c>
      <c r="N933" t="s">
        <v>22</v>
      </c>
      <c r="O933" t="s">
        <v>23</v>
      </c>
    </row>
    <row r="934" spans="1:15" x14ac:dyDescent="0.25">
      <c r="A934" s="3">
        <v>1012</v>
      </c>
      <c r="B934" s="1">
        <v>45244</v>
      </c>
      <c r="C934" t="s">
        <v>24</v>
      </c>
      <c r="D934" t="s">
        <v>15</v>
      </c>
      <c r="E934" s="2">
        <f>Table1[[#This Row],[Quantity_Sold]] * Table1[[#This Row],[Unit_Price]] * (1 - (Table1[[#This Row],[Discount]] / 100))</f>
        <v>17794.959910000001</v>
      </c>
      <c r="F934" s="2">
        <f>Table1[[#This Row],[Quantity_Sold]] * ((Table1[[#This Row],[Unit_Price]] * (1 - (Table1[[#This Row],[Discount]] / 100))) - Table1[[#This Row],[Unit_Cost]])</f>
        <v>1197.9599100000005</v>
      </c>
      <c r="G934" s="3">
        <v>14</v>
      </c>
      <c r="H934" t="s">
        <v>35</v>
      </c>
      <c r="I934">
        <v>1185.5</v>
      </c>
      <c r="J934" s="2">
        <v>1271.45</v>
      </c>
      <c r="K934" t="s">
        <v>17</v>
      </c>
      <c r="L934" s="4">
        <v>0.03</v>
      </c>
      <c r="M934" t="s">
        <v>27</v>
      </c>
      <c r="N934" t="s">
        <v>22</v>
      </c>
      <c r="O934" t="s">
        <v>45</v>
      </c>
    </row>
    <row r="935" spans="1:15" x14ac:dyDescent="0.25">
      <c r="A935" s="3">
        <v>1090</v>
      </c>
      <c r="B935" s="1">
        <v>45037</v>
      </c>
      <c r="C935" t="s">
        <v>24</v>
      </c>
      <c r="D935" t="s">
        <v>21</v>
      </c>
      <c r="E935" s="2">
        <f>Table1[[#This Row],[Quantity_Sold]] * Table1[[#This Row],[Unit_Price]] * (1 - (Table1[[#This Row],[Discount]] / 100))</f>
        <v>51249.588809999659</v>
      </c>
      <c r="F935" s="2">
        <f>Table1[[#This Row],[Quantity_Sold]] * ((Table1[[#This Row],[Unit_Price]] * (1 - (Table1[[#This Row],[Discount]] / 100))) - Table1[[#This Row],[Unit_Cost]])</f>
        <v>11678.588809999659</v>
      </c>
      <c r="G935" s="3">
        <v>35</v>
      </c>
      <c r="H935" t="s">
        <v>35</v>
      </c>
      <c r="I935">
        <v>1130.5999999999999</v>
      </c>
      <c r="J935" s="2">
        <v>1466.1799999999901</v>
      </c>
      <c r="K935" t="s">
        <v>17</v>
      </c>
      <c r="L935" s="4">
        <v>0.13</v>
      </c>
      <c r="M935" t="s">
        <v>18</v>
      </c>
      <c r="N935" t="s">
        <v>19</v>
      </c>
      <c r="O935" t="s">
        <v>47</v>
      </c>
    </row>
    <row r="936" spans="1:15" x14ac:dyDescent="0.25">
      <c r="A936" s="3">
        <v>1046</v>
      </c>
      <c r="B936" s="1">
        <v>45177</v>
      </c>
      <c r="C936" t="s">
        <v>42</v>
      </c>
      <c r="D936" t="s">
        <v>15</v>
      </c>
      <c r="E936" s="2">
        <f>Table1[[#This Row],[Quantity_Sold]] * Table1[[#This Row],[Unit_Price]] * (1 - (Table1[[#This Row],[Discount]] / 100))</f>
        <v>20324.927039999995</v>
      </c>
      <c r="F936" s="2">
        <f>Table1[[#This Row],[Quantity_Sold]] * ((Table1[[#This Row],[Unit_Price]] * (1 - (Table1[[#This Row],[Discount]] / 100))) - Table1[[#This Row],[Unit_Cost]])</f>
        <v>10703.027039999999</v>
      </c>
      <c r="G936" s="3">
        <v>30</v>
      </c>
      <c r="H936" t="s">
        <v>16</v>
      </c>
      <c r="I936">
        <v>320.73</v>
      </c>
      <c r="J936" s="2">
        <v>678.04</v>
      </c>
      <c r="K936" t="s">
        <v>17</v>
      </c>
      <c r="L936" s="4">
        <v>0.08</v>
      </c>
      <c r="M936" t="s">
        <v>18</v>
      </c>
      <c r="N936" t="s">
        <v>22</v>
      </c>
      <c r="O936" t="s">
        <v>49</v>
      </c>
    </row>
    <row r="937" spans="1:15" x14ac:dyDescent="0.25">
      <c r="A937" s="3">
        <v>1034</v>
      </c>
      <c r="B937" s="1">
        <v>44933</v>
      </c>
      <c r="C937" t="s">
        <v>24</v>
      </c>
      <c r="D937" t="s">
        <v>21</v>
      </c>
      <c r="E937" s="2">
        <f>Table1[[#This Row],[Quantity_Sold]] * Table1[[#This Row],[Unit_Price]] * (1 - (Table1[[#This Row],[Discount]] / 100))</f>
        <v>6551.9019719999988</v>
      </c>
      <c r="F937" s="2">
        <f>Table1[[#This Row],[Quantity_Sold]] * ((Table1[[#This Row],[Unit_Price]] * (1 - (Table1[[#This Row],[Discount]] / 100))) - Table1[[#This Row],[Unit_Cost]])</f>
        <v>2702.7419719999998</v>
      </c>
      <c r="G937" s="3">
        <v>28</v>
      </c>
      <c r="H937" t="s">
        <v>16</v>
      </c>
      <c r="I937">
        <v>137.47</v>
      </c>
      <c r="J937" s="2">
        <v>234.63</v>
      </c>
      <c r="K937" t="s">
        <v>30</v>
      </c>
      <c r="L937" s="4">
        <v>0.27</v>
      </c>
      <c r="M937" t="s">
        <v>27</v>
      </c>
      <c r="N937" t="s">
        <v>22</v>
      </c>
      <c r="O937" t="s">
        <v>47</v>
      </c>
    </row>
    <row r="938" spans="1:15" x14ac:dyDescent="0.25">
      <c r="A938" s="3">
        <v>1049</v>
      </c>
      <c r="B938" s="1">
        <v>45010</v>
      </c>
      <c r="C938" t="s">
        <v>38</v>
      </c>
      <c r="D938" t="s">
        <v>34</v>
      </c>
      <c r="E938" s="2">
        <f>Table1[[#This Row],[Quantity_Sold]] * Table1[[#This Row],[Unit_Price]] * (1 - (Table1[[#This Row],[Discount]] / 100))</f>
        <v>17064.239192000001</v>
      </c>
      <c r="F938" s="2">
        <f>Table1[[#This Row],[Quantity_Sold]] * ((Table1[[#This Row],[Unit_Price]] * (1 - (Table1[[#This Row],[Discount]] / 100))) - Table1[[#This Row],[Unit_Cost]])</f>
        <v>7566.3391920000013</v>
      </c>
      <c r="G938" s="3">
        <v>17</v>
      </c>
      <c r="H938" t="s">
        <v>35</v>
      </c>
      <c r="I938">
        <v>558.70000000000005</v>
      </c>
      <c r="J938" s="2">
        <v>1004.08</v>
      </c>
      <c r="K938" t="s">
        <v>17</v>
      </c>
      <c r="L938" s="4">
        <v>0.03</v>
      </c>
      <c r="M938" t="s">
        <v>31</v>
      </c>
      <c r="N938" t="s">
        <v>19</v>
      </c>
      <c r="O938" t="s">
        <v>48</v>
      </c>
    </row>
    <row r="939" spans="1:15" x14ac:dyDescent="0.25">
      <c r="A939" s="3">
        <v>1078</v>
      </c>
      <c r="B939" s="1">
        <v>45134</v>
      </c>
      <c r="C939" t="s">
        <v>38</v>
      </c>
      <c r="D939" t="s">
        <v>15</v>
      </c>
      <c r="E939" s="2">
        <f>Table1[[#This Row],[Quantity_Sold]] * Table1[[#This Row],[Unit_Price]] * (1 - (Table1[[#This Row],[Discount]] / 100))</f>
        <v>3386.3913270000007</v>
      </c>
      <c r="F939" s="2">
        <f>Table1[[#This Row],[Quantity_Sold]] * ((Table1[[#This Row],[Unit_Price]] * (1 - (Table1[[#This Row],[Discount]] / 100))) - Table1[[#This Row],[Unit_Cost]])</f>
        <v>679.25132700000029</v>
      </c>
      <c r="G939" s="3">
        <v>3</v>
      </c>
      <c r="H939" t="s">
        <v>29</v>
      </c>
      <c r="I939">
        <v>902.38</v>
      </c>
      <c r="J939" s="2">
        <v>1128.9100000000001</v>
      </c>
      <c r="K939" t="s">
        <v>30</v>
      </c>
      <c r="L939" s="4">
        <v>0.01</v>
      </c>
      <c r="M939" t="s">
        <v>27</v>
      </c>
      <c r="N939" t="s">
        <v>22</v>
      </c>
      <c r="O939" t="s">
        <v>40</v>
      </c>
    </row>
    <row r="940" spans="1:15" x14ac:dyDescent="0.25">
      <c r="A940" s="3">
        <v>1090</v>
      </c>
      <c r="B940" s="1">
        <v>45240</v>
      </c>
      <c r="C940" t="s">
        <v>42</v>
      </c>
      <c r="D940" t="s">
        <v>15</v>
      </c>
      <c r="E940" s="2">
        <f>Table1[[#This Row],[Quantity_Sold]] * Table1[[#This Row],[Unit_Price]] * (1 - (Table1[[#This Row],[Discount]] / 100))</f>
        <v>36213.759999999842</v>
      </c>
      <c r="F940" s="2">
        <f>Table1[[#This Row],[Quantity_Sold]] * ((Table1[[#This Row],[Unit_Price]] * (1 - (Table1[[#This Row],[Discount]] / 100))) - Table1[[#This Row],[Unit_Cost]])</f>
        <v>1279.8399999998437</v>
      </c>
      <c r="G940" s="3">
        <v>16</v>
      </c>
      <c r="H940" t="s">
        <v>29</v>
      </c>
      <c r="I940">
        <v>2183.37</v>
      </c>
      <c r="J940" s="2">
        <v>2263.3599999999901</v>
      </c>
      <c r="K940" t="s">
        <v>17</v>
      </c>
      <c r="L940" s="4">
        <v>0</v>
      </c>
      <c r="M940" t="s">
        <v>27</v>
      </c>
      <c r="N940" t="s">
        <v>22</v>
      </c>
      <c r="O940" t="s">
        <v>49</v>
      </c>
    </row>
    <row r="941" spans="1:15" x14ac:dyDescent="0.25">
      <c r="A941" s="3">
        <v>1045</v>
      </c>
      <c r="B941" s="1">
        <v>44948</v>
      </c>
      <c r="C941" t="s">
        <v>14</v>
      </c>
      <c r="D941" t="s">
        <v>34</v>
      </c>
      <c r="E941" s="2">
        <f>Table1[[#This Row],[Quantity_Sold]] * Table1[[#This Row],[Unit_Price]] * (1 - (Table1[[#This Row],[Discount]] / 100))</f>
        <v>136095.52824000001</v>
      </c>
      <c r="F941" s="2">
        <f>Table1[[#This Row],[Quantity_Sold]] * ((Table1[[#This Row],[Unit_Price]] * (1 - (Table1[[#This Row],[Discount]] / 100))) - Table1[[#This Row],[Unit_Cost]])</f>
        <v>17549.848239999992</v>
      </c>
      <c r="G941" s="3">
        <v>46</v>
      </c>
      <c r="H941" t="s">
        <v>26</v>
      </c>
      <c r="I941">
        <v>2577.08</v>
      </c>
      <c r="J941" s="2">
        <v>2961.56</v>
      </c>
      <c r="K941" t="s">
        <v>17</v>
      </c>
      <c r="L941" s="4">
        <v>0.1</v>
      </c>
      <c r="M941" t="s">
        <v>18</v>
      </c>
      <c r="N941" t="s">
        <v>19</v>
      </c>
      <c r="O941" t="s">
        <v>46</v>
      </c>
    </row>
    <row r="942" spans="1:15" x14ac:dyDescent="0.25">
      <c r="A942" s="3">
        <v>1027</v>
      </c>
      <c r="B942" s="1">
        <v>44929</v>
      </c>
      <c r="C942" t="s">
        <v>14</v>
      </c>
      <c r="D942" t="s">
        <v>34</v>
      </c>
      <c r="E942" s="2">
        <f>Table1[[#This Row],[Quantity_Sold]] * Table1[[#This Row],[Unit_Price]] * (1 - (Table1[[#This Row],[Discount]] / 100))</f>
        <v>34222.018799999998</v>
      </c>
      <c r="F942" s="2">
        <f>Table1[[#This Row],[Quantity_Sold]] * ((Table1[[#This Row],[Unit_Price]] * (1 - (Table1[[#This Row],[Discount]] / 100))) - Table1[[#This Row],[Unit_Cost]])</f>
        <v>11844.118800000002</v>
      </c>
      <c r="G942" s="3">
        <v>30</v>
      </c>
      <c r="H942" t="s">
        <v>16</v>
      </c>
      <c r="I942">
        <v>745.93</v>
      </c>
      <c r="J942" s="2">
        <v>1143.02</v>
      </c>
      <c r="K942" t="s">
        <v>17</v>
      </c>
      <c r="L942" s="4">
        <v>0.2</v>
      </c>
      <c r="M942" t="s">
        <v>31</v>
      </c>
      <c r="N942" t="s">
        <v>19</v>
      </c>
      <c r="O942" t="s">
        <v>46</v>
      </c>
    </row>
    <row r="943" spans="1:15" x14ac:dyDescent="0.25">
      <c r="A943" s="3">
        <v>1073</v>
      </c>
      <c r="B943" s="1">
        <v>45053</v>
      </c>
      <c r="C943" t="s">
        <v>24</v>
      </c>
      <c r="D943" t="s">
        <v>15</v>
      </c>
      <c r="E943" s="2">
        <f>Table1[[#This Row],[Quantity_Sold]] * Table1[[#This Row],[Unit_Price]] * (1 - (Table1[[#This Row],[Discount]] / 100))</f>
        <v>71644.005665999997</v>
      </c>
      <c r="F943" s="2">
        <f>Table1[[#This Row],[Quantity_Sold]] * ((Table1[[#This Row],[Unit_Price]] * (1 - (Table1[[#This Row],[Discount]] / 100))) - Table1[[#This Row],[Unit_Cost]])</f>
        <v>9216.285666000007</v>
      </c>
      <c r="G943" s="3">
        <v>29</v>
      </c>
      <c r="H943" t="s">
        <v>29</v>
      </c>
      <c r="I943">
        <v>2152.6799999999998</v>
      </c>
      <c r="J943" s="2">
        <v>2475.9299999999998</v>
      </c>
      <c r="K943" t="s">
        <v>17</v>
      </c>
      <c r="L943" s="4">
        <v>0.22</v>
      </c>
      <c r="M943" t="s">
        <v>27</v>
      </c>
      <c r="N943" t="s">
        <v>19</v>
      </c>
      <c r="O943" t="s">
        <v>45</v>
      </c>
    </row>
    <row r="944" spans="1:15" x14ac:dyDescent="0.25">
      <c r="A944" s="3">
        <v>1026</v>
      </c>
      <c r="B944" s="1">
        <v>45223</v>
      </c>
      <c r="C944" t="s">
        <v>24</v>
      </c>
      <c r="D944" t="s">
        <v>34</v>
      </c>
      <c r="E944" s="2">
        <f>Table1[[#This Row],[Quantity_Sold]] * Table1[[#This Row],[Unit_Price]] * (1 - (Table1[[#This Row],[Discount]] / 100))</f>
        <v>97506.998820000023</v>
      </c>
      <c r="F944" s="2">
        <f>Table1[[#This Row],[Quantity_Sold]] * ((Table1[[#This Row],[Unit_Price]] * (1 - (Table1[[#This Row],[Discount]] / 100))) - Table1[[#This Row],[Unit_Cost]])</f>
        <v>19132.29882</v>
      </c>
      <c r="G944" s="3">
        <v>45</v>
      </c>
      <c r="H944" t="s">
        <v>26</v>
      </c>
      <c r="I944">
        <v>1741.66</v>
      </c>
      <c r="J944" s="2">
        <v>2169.86</v>
      </c>
      <c r="K944" t="s">
        <v>17</v>
      </c>
      <c r="L944" s="4">
        <v>0.14000000000000001</v>
      </c>
      <c r="M944" t="s">
        <v>31</v>
      </c>
      <c r="N944" t="s">
        <v>19</v>
      </c>
      <c r="O944" t="s">
        <v>50</v>
      </c>
    </row>
    <row r="945" spans="1:15" x14ac:dyDescent="0.25">
      <c r="A945" s="3">
        <v>1047</v>
      </c>
      <c r="B945" s="1">
        <v>45114</v>
      </c>
      <c r="C945" t="s">
        <v>24</v>
      </c>
      <c r="D945" t="s">
        <v>25</v>
      </c>
      <c r="E945" s="2">
        <f>Table1[[#This Row],[Quantity_Sold]] * Table1[[#This Row],[Unit_Price]] * (1 - (Table1[[#This Row],[Discount]] / 100))</f>
        <v>19897.028310000002</v>
      </c>
      <c r="F945" s="2">
        <f>Table1[[#This Row],[Quantity_Sold]] * ((Table1[[#This Row],[Unit_Price]] * (1 - (Table1[[#This Row],[Discount]] / 100))) - Table1[[#This Row],[Unit_Cost]])</f>
        <v>5527.7783099999997</v>
      </c>
      <c r="G945" s="3">
        <v>15</v>
      </c>
      <c r="H945" t="s">
        <v>29</v>
      </c>
      <c r="I945">
        <v>957.95</v>
      </c>
      <c r="J945" s="2">
        <v>1329.26</v>
      </c>
      <c r="K945" t="s">
        <v>30</v>
      </c>
      <c r="L945" s="4">
        <v>0.21</v>
      </c>
      <c r="M945" t="s">
        <v>18</v>
      </c>
      <c r="N945" t="s">
        <v>19</v>
      </c>
      <c r="O945" t="s">
        <v>28</v>
      </c>
    </row>
    <row r="946" spans="1:15" x14ac:dyDescent="0.25">
      <c r="A946" s="3">
        <v>1086</v>
      </c>
      <c r="B946" s="1">
        <v>45288</v>
      </c>
      <c r="C946" t="s">
        <v>14</v>
      </c>
      <c r="D946" t="s">
        <v>21</v>
      </c>
      <c r="E946" s="2">
        <f>Table1[[#This Row],[Quantity_Sold]] * Table1[[#This Row],[Unit_Price]] * (1 - (Table1[[#This Row],[Discount]] / 100))</f>
        <v>24175.817316000001</v>
      </c>
      <c r="F946" s="2">
        <f>Table1[[#This Row],[Quantity_Sold]] * ((Table1[[#This Row],[Unit_Price]] * (1 - (Table1[[#This Row],[Discount]] / 100))) - Table1[[#This Row],[Unit_Cost]])</f>
        <v>20318.257315999999</v>
      </c>
      <c r="G946" s="3">
        <v>46</v>
      </c>
      <c r="H946" t="s">
        <v>16</v>
      </c>
      <c r="I946">
        <v>83.86</v>
      </c>
      <c r="J946" s="2">
        <v>526.14</v>
      </c>
      <c r="K946" t="s">
        <v>17</v>
      </c>
      <c r="L946" s="4">
        <v>0.11</v>
      </c>
      <c r="M946" t="s">
        <v>31</v>
      </c>
      <c r="N946" t="s">
        <v>19</v>
      </c>
      <c r="O946" t="s">
        <v>23</v>
      </c>
    </row>
    <row r="947" spans="1:15" x14ac:dyDescent="0.25">
      <c r="A947" s="3">
        <v>1056</v>
      </c>
      <c r="B947" s="1">
        <v>44940</v>
      </c>
      <c r="C947" t="s">
        <v>33</v>
      </c>
      <c r="D947" t="s">
        <v>21</v>
      </c>
      <c r="E947" s="2">
        <f>Table1[[#This Row],[Quantity_Sold]] * Table1[[#This Row],[Unit_Price]] * (1 - (Table1[[#This Row],[Discount]] / 100))</f>
        <v>64479.532500000001</v>
      </c>
      <c r="F947" s="2">
        <f>Table1[[#This Row],[Quantity_Sold]] * ((Table1[[#This Row],[Unit_Price]] * (1 - (Table1[[#This Row],[Discount]] / 100))) - Table1[[#This Row],[Unit_Cost]])</f>
        <v>5436.0324999999993</v>
      </c>
      <c r="G947" s="3">
        <v>25</v>
      </c>
      <c r="H947" t="s">
        <v>26</v>
      </c>
      <c r="I947">
        <v>2361.7399999999998</v>
      </c>
      <c r="J947" s="2">
        <v>2584.35</v>
      </c>
      <c r="K947" t="s">
        <v>17</v>
      </c>
      <c r="L947" s="4">
        <v>0.2</v>
      </c>
      <c r="M947" t="s">
        <v>18</v>
      </c>
      <c r="N947" t="s">
        <v>19</v>
      </c>
      <c r="O947" t="s">
        <v>37</v>
      </c>
    </row>
    <row r="948" spans="1:15" x14ac:dyDescent="0.25">
      <c r="A948" s="3">
        <v>1094</v>
      </c>
      <c r="B948" s="1">
        <v>44938</v>
      </c>
      <c r="C948" t="s">
        <v>38</v>
      </c>
      <c r="D948" t="s">
        <v>21</v>
      </c>
      <c r="E948" s="2">
        <f>Table1[[#This Row],[Quantity_Sold]] * Table1[[#This Row],[Unit_Price]] * (1 - (Table1[[#This Row],[Discount]] / 100))</f>
        <v>145156.88285999998</v>
      </c>
      <c r="F948" s="2">
        <f>Table1[[#This Row],[Quantity_Sold]] * ((Table1[[#This Row],[Unit_Price]] * (1 - (Table1[[#This Row],[Discount]] / 100))) - Table1[[#This Row],[Unit_Cost]])</f>
        <v>14285.642860000014</v>
      </c>
      <c r="G948" s="3">
        <v>38</v>
      </c>
      <c r="H948" t="s">
        <v>26</v>
      </c>
      <c r="I948">
        <v>3443.98</v>
      </c>
      <c r="J948" s="2">
        <v>3820.3</v>
      </c>
      <c r="K948" t="s">
        <v>17</v>
      </c>
      <c r="L948" s="4">
        <v>0.01</v>
      </c>
      <c r="M948" t="s">
        <v>31</v>
      </c>
      <c r="N948" t="s">
        <v>22</v>
      </c>
      <c r="O948" t="s">
        <v>41</v>
      </c>
    </row>
    <row r="949" spans="1:15" x14ac:dyDescent="0.25">
      <c r="A949" s="3">
        <v>1063</v>
      </c>
      <c r="B949" s="1">
        <v>45013</v>
      </c>
      <c r="C949" t="s">
        <v>33</v>
      </c>
      <c r="D949" t="s">
        <v>25</v>
      </c>
      <c r="E949" s="2">
        <f>Table1[[#This Row],[Quantity_Sold]] * Table1[[#This Row],[Unit_Price]] * (1 - (Table1[[#This Row],[Discount]] / 100))</f>
        <v>70053.734519999591</v>
      </c>
      <c r="F949" s="2">
        <f>Table1[[#This Row],[Quantity_Sold]] * ((Table1[[#This Row],[Unit_Price]] * (1 - (Table1[[#This Row],[Discount]] / 100))) - Table1[[#This Row],[Unit_Cost]])</f>
        <v>20910.794519999581</v>
      </c>
      <c r="G949" s="3">
        <v>42</v>
      </c>
      <c r="H949" t="s">
        <v>26</v>
      </c>
      <c r="I949">
        <v>1170.07</v>
      </c>
      <c r="J949" s="2">
        <v>1669.94999999999</v>
      </c>
      <c r="K949" t="s">
        <v>17</v>
      </c>
      <c r="L949" s="4">
        <v>0.12</v>
      </c>
      <c r="M949" t="s">
        <v>27</v>
      </c>
      <c r="N949" t="s">
        <v>22</v>
      </c>
      <c r="O949" t="s">
        <v>44</v>
      </c>
    </row>
    <row r="950" spans="1:15" x14ac:dyDescent="0.25">
      <c r="A950" s="3">
        <v>1048</v>
      </c>
      <c r="B950" s="1">
        <v>44938</v>
      </c>
      <c r="C950" t="s">
        <v>33</v>
      </c>
      <c r="D950" t="s">
        <v>34</v>
      </c>
      <c r="E950" s="2">
        <f>Table1[[#This Row],[Quantity_Sold]] * Table1[[#This Row],[Unit_Price]] * (1 - (Table1[[#This Row],[Discount]] / 100))</f>
        <v>50059.587952000009</v>
      </c>
      <c r="F950" s="2">
        <f>Table1[[#This Row],[Quantity_Sold]] * ((Table1[[#This Row],[Unit_Price]] * (1 - (Table1[[#This Row],[Discount]] / 100))) - Table1[[#This Row],[Unit_Cost]])</f>
        <v>17044.907951999998</v>
      </c>
      <c r="G950" s="3">
        <v>47</v>
      </c>
      <c r="H950" t="s">
        <v>29</v>
      </c>
      <c r="I950">
        <v>702.44</v>
      </c>
      <c r="J950" s="2">
        <v>1067.6600000000001</v>
      </c>
      <c r="K950" t="s">
        <v>30</v>
      </c>
      <c r="L950" s="4">
        <v>0.24</v>
      </c>
      <c r="M950" t="s">
        <v>18</v>
      </c>
      <c r="N950" t="s">
        <v>22</v>
      </c>
      <c r="O950" t="s">
        <v>36</v>
      </c>
    </row>
    <row r="951" spans="1:15" x14ac:dyDescent="0.25">
      <c r="A951" s="3">
        <v>1061</v>
      </c>
      <c r="B951" s="1">
        <v>44951</v>
      </c>
      <c r="C951" t="s">
        <v>14</v>
      </c>
      <c r="D951" t="s">
        <v>34</v>
      </c>
      <c r="E951" s="2">
        <f>Table1[[#This Row],[Quantity_Sold]] * Table1[[#This Row],[Unit_Price]] * (1 - (Table1[[#This Row],[Discount]] / 100))</f>
        <v>170847.75892799962</v>
      </c>
      <c r="F951" s="2">
        <f>Table1[[#This Row],[Quantity_Sold]] * ((Table1[[#This Row],[Unit_Price]] * (1 - (Table1[[#This Row],[Discount]] / 100))) - Table1[[#This Row],[Unit_Cost]])</f>
        <v>2095.0789279996534</v>
      </c>
      <c r="G951" s="3">
        <v>38</v>
      </c>
      <c r="H951" t="s">
        <v>16</v>
      </c>
      <c r="I951">
        <v>4440.8599999999997</v>
      </c>
      <c r="J951" s="2">
        <v>4506.8099999999904</v>
      </c>
      <c r="K951" t="s">
        <v>17</v>
      </c>
      <c r="L951" s="4">
        <v>0.24</v>
      </c>
      <c r="M951" t="s">
        <v>27</v>
      </c>
      <c r="N951" t="s">
        <v>19</v>
      </c>
      <c r="O951" t="s">
        <v>46</v>
      </c>
    </row>
    <row r="952" spans="1:15" x14ac:dyDescent="0.25">
      <c r="A952" s="3">
        <v>1081</v>
      </c>
      <c r="B952" s="1">
        <v>45227</v>
      </c>
      <c r="C952" t="s">
        <v>33</v>
      </c>
      <c r="D952" t="s">
        <v>15</v>
      </c>
      <c r="E952" s="2">
        <f>Table1[[#This Row],[Quantity_Sold]] * Table1[[#This Row],[Unit_Price]] * (1 - (Table1[[#This Row],[Discount]] / 100))</f>
        <v>38452.130594999995</v>
      </c>
      <c r="F952" s="2">
        <f>Table1[[#This Row],[Quantity_Sold]] * ((Table1[[#This Row],[Unit_Price]] * (1 - (Table1[[#This Row],[Discount]] / 100))) - Table1[[#This Row],[Unit_Cost]])</f>
        <v>5990.6205950000003</v>
      </c>
      <c r="G952" s="3">
        <v>23</v>
      </c>
      <c r="H952" t="s">
        <v>26</v>
      </c>
      <c r="I952">
        <v>1411.37</v>
      </c>
      <c r="J952" s="2">
        <v>1675.35</v>
      </c>
      <c r="K952" t="s">
        <v>30</v>
      </c>
      <c r="L952" s="4">
        <v>0.21</v>
      </c>
      <c r="M952" t="s">
        <v>18</v>
      </c>
      <c r="N952" t="s">
        <v>22</v>
      </c>
      <c r="O952" t="s">
        <v>53</v>
      </c>
    </row>
    <row r="953" spans="1:15" x14ac:dyDescent="0.25">
      <c r="A953" s="3">
        <v>1026</v>
      </c>
      <c r="B953" s="1">
        <v>45169</v>
      </c>
      <c r="C953" t="s">
        <v>42</v>
      </c>
      <c r="D953" t="s">
        <v>34</v>
      </c>
      <c r="E953" s="2">
        <f>Table1[[#This Row],[Quantity_Sold]] * Table1[[#This Row],[Unit_Price]] * (1 - (Table1[[#This Row],[Discount]] / 100))</f>
        <v>36345.179799999998</v>
      </c>
      <c r="F953" s="2">
        <f>Table1[[#This Row],[Quantity_Sold]] * ((Table1[[#This Row],[Unit_Price]] * (1 - (Table1[[#This Row],[Discount]] / 100))) - Table1[[#This Row],[Unit_Cost]])</f>
        <v>7423.1797999999972</v>
      </c>
      <c r="G953" s="3">
        <v>25</v>
      </c>
      <c r="H953" t="s">
        <v>35</v>
      </c>
      <c r="I953">
        <v>1156.8800000000001</v>
      </c>
      <c r="J953" s="2">
        <v>1454.68</v>
      </c>
      <c r="K953" t="s">
        <v>17</v>
      </c>
      <c r="L953" s="4">
        <v>0.06</v>
      </c>
      <c r="M953" t="s">
        <v>31</v>
      </c>
      <c r="N953" t="s">
        <v>19</v>
      </c>
      <c r="O953" t="s">
        <v>52</v>
      </c>
    </row>
    <row r="954" spans="1:15" x14ac:dyDescent="0.25">
      <c r="A954" s="3">
        <v>1036</v>
      </c>
      <c r="B954" s="1">
        <v>45048</v>
      </c>
      <c r="C954" t="s">
        <v>24</v>
      </c>
      <c r="D954" t="s">
        <v>15</v>
      </c>
      <c r="E954" s="2">
        <f>Table1[[#This Row],[Quantity_Sold]] * Table1[[#This Row],[Unit_Price]] * (1 - (Table1[[#This Row],[Discount]] / 100))</f>
        <v>184166.57309399999</v>
      </c>
      <c r="F954" s="2">
        <f>Table1[[#This Row],[Quantity_Sold]] * ((Table1[[#This Row],[Unit_Price]] * (1 - (Table1[[#This Row],[Discount]] / 100))) - Table1[[#This Row],[Unit_Cost]])</f>
        <v>3876.1130939999621</v>
      </c>
      <c r="G954" s="3">
        <v>42</v>
      </c>
      <c r="H954" t="s">
        <v>16</v>
      </c>
      <c r="I954">
        <v>4292.63</v>
      </c>
      <c r="J954" s="2">
        <v>4387.99</v>
      </c>
      <c r="K954" t="s">
        <v>30</v>
      </c>
      <c r="L954" s="4">
        <v>7.0000000000000007E-2</v>
      </c>
      <c r="M954" t="s">
        <v>31</v>
      </c>
      <c r="N954" t="s">
        <v>22</v>
      </c>
      <c r="O954" t="s">
        <v>45</v>
      </c>
    </row>
    <row r="955" spans="1:15" x14ac:dyDescent="0.25">
      <c r="A955" s="3">
        <v>1001</v>
      </c>
      <c r="B955" s="1">
        <v>45073</v>
      </c>
      <c r="C955" t="s">
        <v>42</v>
      </c>
      <c r="D955" t="s">
        <v>25</v>
      </c>
      <c r="E955" s="2">
        <f>Table1[[#This Row],[Quantity_Sold]] * Table1[[#This Row],[Unit_Price]] * (1 - (Table1[[#This Row],[Discount]] / 100))</f>
        <v>31939.393499999998</v>
      </c>
      <c r="F955" s="2">
        <f>Table1[[#This Row],[Quantity_Sold]] * ((Table1[[#This Row],[Unit_Price]] * (1 - (Table1[[#This Row],[Discount]] / 100))) - Table1[[#This Row],[Unit_Cost]])</f>
        <v>3276.6334999999985</v>
      </c>
      <c r="G955" s="3">
        <v>7</v>
      </c>
      <c r="H955" t="s">
        <v>35</v>
      </c>
      <c r="I955">
        <v>4094.68</v>
      </c>
      <c r="J955" s="2">
        <v>4576.5</v>
      </c>
      <c r="K955" t="s">
        <v>30</v>
      </c>
      <c r="L955" s="4">
        <v>0.3</v>
      </c>
      <c r="M955" t="s">
        <v>18</v>
      </c>
      <c r="N955" t="s">
        <v>22</v>
      </c>
      <c r="O955" t="s">
        <v>43</v>
      </c>
    </row>
    <row r="956" spans="1:15" x14ac:dyDescent="0.25">
      <c r="A956" s="3">
        <v>1008</v>
      </c>
      <c r="B956" s="1">
        <v>44981</v>
      </c>
      <c r="C956" t="s">
        <v>38</v>
      </c>
      <c r="D956" t="s">
        <v>21</v>
      </c>
      <c r="E956" s="2">
        <f>Table1[[#This Row],[Quantity_Sold]] * Table1[[#This Row],[Unit_Price]] * (1 - (Table1[[#This Row],[Discount]] / 100))</f>
        <v>52022.088689999997</v>
      </c>
      <c r="F956" s="2">
        <f>Table1[[#This Row],[Quantity_Sold]] * ((Table1[[#This Row],[Unit_Price]] * (1 - (Table1[[#This Row],[Discount]] / 100))) - Table1[[#This Row],[Unit_Cost]])</f>
        <v>2097.0486899999942</v>
      </c>
      <c r="G956" s="3">
        <v>22</v>
      </c>
      <c r="H956" t="s">
        <v>35</v>
      </c>
      <c r="I956">
        <v>2269.3200000000002</v>
      </c>
      <c r="J956" s="2">
        <v>2365.35</v>
      </c>
      <c r="K956" t="s">
        <v>30</v>
      </c>
      <c r="L956" s="4">
        <v>0.03</v>
      </c>
      <c r="M956" t="s">
        <v>18</v>
      </c>
      <c r="N956" t="s">
        <v>22</v>
      </c>
      <c r="O956" t="s">
        <v>41</v>
      </c>
    </row>
    <row r="957" spans="1:15" x14ac:dyDescent="0.25">
      <c r="A957" s="3">
        <v>1099</v>
      </c>
      <c r="B957" s="1">
        <v>45164</v>
      </c>
      <c r="C957" t="s">
        <v>24</v>
      </c>
      <c r="D957" t="s">
        <v>21</v>
      </c>
      <c r="E957" s="2">
        <f>Table1[[#This Row],[Quantity_Sold]] * Table1[[#This Row],[Unit_Price]] * (1 - (Table1[[#This Row],[Discount]] / 100))</f>
        <v>43646.575795000004</v>
      </c>
      <c r="F957" s="2">
        <f>Table1[[#This Row],[Quantity_Sold]] * ((Table1[[#This Row],[Unit_Price]] * (1 - (Table1[[#This Row],[Discount]] / 100))) - Table1[[#This Row],[Unit_Cost]])</f>
        <v>1627.1657950000003</v>
      </c>
      <c r="G957" s="3">
        <v>17</v>
      </c>
      <c r="H957" t="s">
        <v>26</v>
      </c>
      <c r="I957">
        <v>2471.73</v>
      </c>
      <c r="J957" s="2">
        <v>2568.73</v>
      </c>
      <c r="K957" t="s">
        <v>30</v>
      </c>
      <c r="L957" s="4">
        <v>0.05</v>
      </c>
      <c r="M957" t="s">
        <v>18</v>
      </c>
      <c r="N957" t="s">
        <v>22</v>
      </c>
      <c r="O957" t="s">
        <v>47</v>
      </c>
    </row>
    <row r="958" spans="1:15" x14ac:dyDescent="0.25">
      <c r="A958" s="3">
        <v>1052</v>
      </c>
      <c r="B958" s="1">
        <v>45282</v>
      </c>
      <c r="C958" t="s">
        <v>33</v>
      </c>
      <c r="D958" t="s">
        <v>21</v>
      </c>
      <c r="E958" s="2">
        <f>Table1[[#This Row],[Quantity_Sold]] * Table1[[#This Row],[Unit_Price]] * (1 - (Table1[[#This Row],[Discount]] / 100))</f>
        <v>28541.798712000003</v>
      </c>
      <c r="F958" s="2">
        <f>Table1[[#This Row],[Quantity_Sold]] * ((Table1[[#This Row],[Unit_Price]] * (1 - (Table1[[#This Row],[Discount]] / 100))) - Table1[[#This Row],[Unit_Cost]])</f>
        <v>8240.3187120000039</v>
      </c>
      <c r="G958" s="3">
        <v>18</v>
      </c>
      <c r="H958" t="s">
        <v>26</v>
      </c>
      <c r="I958">
        <v>1127.8599999999999</v>
      </c>
      <c r="J958" s="2">
        <v>1586.29</v>
      </c>
      <c r="K958" t="s">
        <v>30</v>
      </c>
      <c r="L958" s="4">
        <v>0.04</v>
      </c>
      <c r="M958" t="s">
        <v>31</v>
      </c>
      <c r="N958" t="s">
        <v>19</v>
      </c>
      <c r="O958" t="s">
        <v>37</v>
      </c>
    </row>
    <row r="959" spans="1:15" x14ac:dyDescent="0.25">
      <c r="A959" s="3">
        <v>1079</v>
      </c>
      <c r="B959" s="1">
        <v>45099</v>
      </c>
      <c r="C959" t="s">
        <v>38</v>
      </c>
      <c r="D959" t="s">
        <v>34</v>
      </c>
      <c r="E959" s="2">
        <f>Table1[[#This Row],[Quantity_Sold]] * Table1[[#This Row],[Unit_Price]] * (1 - (Table1[[#This Row],[Discount]] / 100))</f>
        <v>33068.358540000001</v>
      </c>
      <c r="F959" s="2">
        <f>Table1[[#This Row],[Quantity_Sold]] * ((Table1[[#This Row],[Unit_Price]] * (1 - (Table1[[#This Row],[Discount]] / 100))) - Table1[[#This Row],[Unit_Cost]])</f>
        <v>11626.448540000001</v>
      </c>
      <c r="G959" s="3">
        <v>49</v>
      </c>
      <c r="H959" t="s">
        <v>29</v>
      </c>
      <c r="I959">
        <v>437.59</v>
      </c>
      <c r="J959" s="2">
        <v>675.54</v>
      </c>
      <c r="K959" t="s">
        <v>17</v>
      </c>
      <c r="L959" s="4">
        <v>0.1</v>
      </c>
      <c r="M959" t="s">
        <v>18</v>
      </c>
      <c r="N959" t="s">
        <v>19</v>
      </c>
      <c r="O959" t="s">
        <v>48</v>
      </c>
    </row>
    <row r="960" spans="1:15" x14ac:dyDescent="0.25">
      <c r="A960" s="3">
        <v>1047</v>
      </c>
      <c r="B960" s="1">
        <v>45147</v>
      </c>
      <c r="C960" t="s">
        <v>24</v>
      </c>
      <c r="D960" t="s">
        <v>15</v>
      </c>
      <c r="E960" s="2">
        <f>Table1[[#This Row],[Quantity_Sold]] * Table1[[#This Row],[Unit_Price]] * (1 - (Table1[[#This Row],[Discount]] / 100))</f>
        <v>120035.38552999999</v>
      </c>
      <c r="F960" s="2">
        <f>Table1[[#This Row],[Quantity_Sold]] * ((Table1[[#This Row],[Unit_Price]] * (1 - (Table1[[#This Row],[Discount]] / 100))) - Table1[[#This Row],[Unit_Cost]])</f>
        <v>1607.2955300000031</v>
      </c>
      <c r="G960" s="3">
        <v>41</v>
      </c>
      <c r="H960" t="s">
        <v>29</v>
      </c>
      <c r="I960">
        <v>2888.49</v>
      </c>
      <c r="J960" s="2">
        <v>2929.45</v>
      </c>
      <c r="K960" t="s">
        <v>30</v>
      </c>
      <c r="L960" s="4">
        <v>0.06</v>
      </c>
      <c r="M960" t="s">
        <v>18</v>
      </c>
      <c r="N960" t="s">
        <v>22</v>
      </c>
      <c r="O960" t="s">
        <v>45</v>
      </c>
    </row>
    <row r="961" spans="1:15" x14ac:dyDescent="0.25">
      <c r="A961" s="3">
        <v>1056</v>
      </c>
      <c r="B961" s="1">
        <v>45045</v>
      </c>
      <c r="C961" t="s">
        <v>33</v>
      </c>
      <c r="D961" t="s">
        <v>15</v>
      </c>
      <c r="E961" s="2">
        <f>Table1[[#This Row],[Quantity_Sold]] * Table1[[#This Row],[Unit_Price]] * (1 - (Table1[[#This Row],[Discount]] / 100))</f>
        <v>8386.6011999999992</v>
      </c>
      <c r="F961" s="2">
        <f>Table1[[#This Row],[Quantity_Sold]] * ((Table1[[#This Row],[Unit_Price]] * (1 - (Table1[[#This Row],[Discount]] / 100))) - Table1[[#This Row],[Unit_Cost]])</f>
        <v>3018.5012000000006</v>
      </c>
      <c r="G961" s="3">
        <v>10</v>
      </c>
      <c r="H961" t="s">
        <v>29</v>
      </c>
      <c r="I961">
        <v>536.80999999999995</v>
      </c>
      <c r="J961" s="2">
        <v>839.92</v>
      </c>
      <c r="K961" t="s">
        <v>17</v>
      </c>
      <c r="L961" s="4">
        <v>0.15</v>
      </c>
      <c r="M961" t="s">
        <v>27</v>
      </c>
      <c r="N961" t="s">
        <v>19</v>
      </c>
      <c r="O961" t="s">
        <v>53</v>
      </c>
    </row>
    <row r="962" spans="1:15" x14ac:dyDescent="0.25">
      <c r="A962" s="3">
        <v>1086</v>
      </c>
      <c r="B962" s="1">
        <v>45235</v>
      </c>
      <c r="C962" t="s">
        <v>42</v>
      </c>
      <c r="D962" t="s">
        <v>25</v>
      </c>
      <c r="E962" s="2">
        <f>Table1[[#This Row],[Quantity_Sold]] * Table1[[#This Row],[Unit_Price]] * (1 - (Table1[[#This Row],[Discount]] / 100))</f>
        <v>25751.896799999904</v>
      </c>
      <c r="F962" s="2">
        <f>Table1[[#This Row],[Quantity_Sold]] * ((Table1[[#This Row],[Unit_Price]] * (1 - (Table1[[#This Row],[Discount]] / 100))) - Table1[[#This Row],[Unit_Cost]])</f>
        <v>3012.7967999999055</v>
      </c>
      <c r="G962" s="3">
        <v>10</v>
      </c>
      <c r="H962" t="s">
        <v>16</v>
      </c>
      <c r="I962">
        <v>2273.91</v>
      </c>
      <c r="J962" s="2">
        <v>2578.7999999999902</v>
      </c>
      <c r="K962" t="s">
        <v>30</v>
      </c>
      <c r="L962" s="4">
        <v>0.14000000000000001</v>
      </c>
      <c r="M962" t="s">
        <v>18</v>
      </c>
      <c r="N962" t="s">
        <v>19</v>
      </c>
      <c r="O962" t="s">
        <v>43</v>
      </c>
    </row>
    <row r="963" spans="1:15" x14ac:dyDescent="0.25">
      <c r="A963" s="3">
        <v>1014</v>
      </c>
      <c r="B963" s="1">
        <v>45109</v>
      </c>
      <c r="C963" t="s">
        <v>24</v>
      </c>
      <c r="D963" t="s">
        <v>34</v>
      </c>
      <c r="E963" s="2">
        <f>Table1[[#This Row],[Quantity_Sold]] * Table1[[#This Row],[Unit_Price]] * (1 - (Table1[[#This Row],[Discount]] / 100))</f>
        <v>33139.770376999993</v>
      </c>
      <c r="F963" s="2">
        <f>Table1[[#This Row],[Quantity_Sold]] * ((Table1[[#This Row],[Unit_Price]] * (1 - (Table1[[#This Row],[Discount]] / 100))) - Table1[[#This Row],[Unit_Cost]])</f>
        <v>201.55037699999684</v>
      </c>
      <c r="G963" s="3">
        <v>7</v>
      </c>
      <c r="H963" t="s">
        <v>29</v>
      </c>
      <c r="I963">
        <v>4705.46</v>
      </c>
      <c r="J963" s="2">
        <v>4747.07</v>
      </c>
      <c r="K963" t="s">
        <v>30</v>
      </c>
      <c r="L963" s="4">
        <v>0.27</v>
      </c>
      <c r="M963" t="s">
        <v>27</v>
      </c>
      <c r="N963" t="s">
        <v>22</v>
      </c>
      <c r="O963" t="s">
        <v>50</v>
      </c>
    </row>
    <row r="964" spans="1:15" x14ac:dyDescent="0.25">
      <c r="A964" s="3">
        <v>1090</v>
      </c>
      <c r="B964" s="1">
        <v>45214</v>
      </c>
      <c r="C964" t="s">
        <v>33</v>
      </c>
      <c r="D964" t="s">
        <v>25</v>
      </c>
      <c r="E964" s="2">
        <f>Table1[[#This Row],[Quantity_Sold]] * Table1[[#This Row],[Unit_Price]] * (1 - (Table1[[#This Row],[Discount]] / 100))</f>
        <v>252122.14526399999</v>
      </c>
      <c r="F964" s="2">
        <f>Table1[[#This Row],[Quantity_Sold]] * ((Table1[[#This Row],[Unit_Price]] * (1 - (Table1[[#This Row],[Discount]] / 100))) - Table1[[#This Row],[Unit_Cost]])</f>
        <v>23328.705264000004</v>
      </c>
      <c r="G964" s="3">
        <v>48</v>
      </c>
      <c r="H964" t="s">
        <v>35</v>
      </c>
      <c r="I964">
        <v>4766.53</v>
      </c>
      <c r="J964" s="2">
        <v>5253.07</v>
      </c>
      <c r="K964" t="s">
        <v>17</v>
      </c>
      <c r="L964" s="4">
        <v>0.01</v>
      </c>
      <c r="M964" t="s">
        <v>27</v>
      </c>
      <c r="N964" t="s">
        <v>19</v>
      </c>
      <c r="O964" t="s">
        <v>44</v>
      </c>
    </row>
    <row r="965" spans="1:15" x14ac:dyDescent="0.25">
      <c r="A965" s="3">
        <v>1028</v>
      </c>
      <c r="B965" s="1">
        <v>45233</v>
      </c>
      <c r="C965" t="s">
        <v>42</v>
      </c>
      <c r="D965" t="s">
        <v>15</v>
      </c>
      <c r="E965" s="2">
        <f>Table1[[#This Row],[Quantity_Sold]] * Table1[[#This Row],[Unit_Price]] * (1 - (Table1[[#This Row],[Discount]] / 100))</f>
        <v>57370.452119999994</v>
      </c>
      <c r="F965" s="2">
        <f>Table1[[#This Row],[Quantity_Sold]] * ((Table1[[#This Row],[Unit_Price]] * (1 - (Table1[[#This Row],[Discount]] / 100))) - Table1[[#This Row],[Unit_Cost]])</f>
        <v>10452.232119999997</v>
      </c>
      <c r="G965" s="3">
        <v>38</v>
      </c>
      <c r="H965" t="s">
        <v>29</v>
      </c>
      <c r="I965">
        <v>1234.69</v>
      </c>
      <c r="J965" s="2">
        <v>1511.26</v>
      </c>
      <c r="K965" t="s">
        <v>30</v>
      </c>
      <c r="L965" s="4">
        <v>0.1</v>
      </c>
      <c r="M965" t="s">
        <v>27</v>
      </c>
      <c r="N965" t="s">
        <v>19</v>
      </c>
      <c r="O965" t="s">
        <v>49</v>
      </c>
    </row>
    <row r="966" spans="1:15" x14ac:dyDescent="0.25">
      <c r="A966" s="3">
        <v>1087</v>
      </c>
      <c r="B966" s="1">
        <v>45226</v>
      </c>
      <c r="C966" t="s">
        <v>38</v>
      </c>
      <c r="D966" t="s">
        <v>15</v>
      </c>
      <c r="E966" s="2">
        <f>Table1[[#This Row],[Quantity_Sold]] * Table1[[#This Row],[Unit_Price]] * (1 - (Table1[[#This Row],[Discount]] / 100))</f>
        <v>92272.430123999991</v>
      </c>
      <c r="F966" s="2">
        <f>Table1[[#This Row],[Quantity_Sold]] * ((Table1[[#This Row],[Unit_Price]] * (1 - (Table1[[#This Row],[Discount]] / 100))) - Table1[[#This Row],[Unit_Cost]])</f>
        <v>7509.7101239999884</v>
      </c>
      <c r="G966" s="3">
        <v>27</v>
      </c>
      <c r="H966" t="s">
        <v>26</v>
      </c>
      <c r="I966">
        <v>3139.36</v>
      </c>
      <c r="J966" s="2">
        <v>3423.66</v>
      </c>
      <c r="K966" t="s">
        <v>30</v>
      </c>
      <c r="L966" s="4">
        <v>0.18</v>
      </c>
      <c r="M966" t="s">
        <v>31</v>
      </c>
      <c r="N966" t="s">
        <v>19</v>
      </c>
      <c r="O966" t="s">
        <v>40</v>
      </c>
    </row>
    <row r="967" spans="1:15" x14ac:dyDescent="0.25">
      <c r="A967" s="3">
        <v>1078</v>
      </c>
      <c r="B967" s="1">
        <v>45008</v>
      </c>
      <c r="C967" t="s">
        <v>38</v>
      </c>
      <c r="D967" t="s">
        <v>21</v>
      </c>
      <c r="E967" s="2">
        <f>Table1[[#This Row],[Quantity_Sold]] * Table1[[#This Row],[Unit_Price]] * (1 - (Table1[[#This Row],[Discount]] / 100))</f>
        <v>87672.72452399999</v>
      </c>
      <c r="F967" s="2">
        <f>Table1[[#This Row],[Quantity_Sold]] * ((Table1[[#This Row],[Unit_Price]] * (1 - (Table1[[#This Row],[Discount]] / 100))) - Table1[[#This Row],[Unit_Cost]])</f>
        <v>8582.2845239999951</v>
      </c>
      <c r="G967" s="3">
        <v>33</v>
      </c>
      <c r="H967" t="s">
        <v>29</v>
      </c>
      <c r="I967">
        <v>2396.6799999999998</v>
      </c>
      <c r="J967" s="2">
        <v>2661.54</v>
      </c>
      <c r="K967" t="s">
        <v>30</v>
      </c>
      <c r="L967" s="4">
        <v>0.18</v>
      </c>
      <c r="M967" t="s">
        <v>27</v>
      </c>
      <c r="N967" t="s">
        <v>19</v>
      </c>
      <c r="O967" t="s">
        <v>41</v>
      </c>
    </row>
    <row r="968" spans="1:15" x14ac:dyDescent="0.25">
      <c r="A968" s="3">
        <v>1088</v>
      </c>
      <c r="B968" s="1">
        <v>45137</v>
      </c>
      <c r="C968" t="s">
        <v>38</v>
      </c>
      <c r="D968" t="s">
        <v>34</v>
      </c>
      <c r="E968" s="2">
        <f>Table1[[#This Row],[Quantity_Sold]] * Table1[[#This Row],[Unit_Price]] * (1 - (Table1[[#This Row],[Discount]] / 100))</f>
        <v>4687.3285399999995</v>
      </c>
      <c r="F968" s="2">
        <f>Table1[[#This Row],[Quantity_Sold]] * ((Table1[[#This Row],[Unit_Price]] * (1 - (Table1[[#This Row],[Discount]] / 100))) - Table1[[#This Row],[Unit_Cost]])</f>
        <v>302.68853999999919</v>
      </c>
      <c r="G968" s="3">
        <v>1</v>
      </c>
      <c r="H968" t="s">
        <v>16</v>
      </c>
      <c r="I968">
        <v>4384.6400000000003</v>
      </c>
      <c r="J968" s="2">
        <v>4693.8999999999996</v>
      </c>
      <c r="K968" t="s">
        <v>30</v>
      </c>
      <c r="L968" s="4">
        <v>0.14000000000000001</v>
      </c>
      <c r="M968" t="s">
        <v>18</v>
      </c>
      <c r="N968" t="s">
        <v>22</v>
      </c>
      <c r="O968" t="s">
        <v>48</v>
      </c>
    </row>
    <row r="969" spans="1:15" x14ac:dyDescent="0.25">
      <c r="A969" s="3">
        <v>1002</v>
      </c>
      <c r="B969" s="1">
        <v>45076</v>
      </c>
      <c r="C969" t="s">
        <v>38</v>
      </c>
      <c r="D969" t="s">
        <v>15</v>
      </c>
      <c r="E969" s="2">
        <f>Table1[[#This Row],[Quantity_Sold]] * Table1[[#This Row],[Unit_Price]] * (1 - (Table1[[#This Row],[Discount]] / 100))</f>
        <v>67294.065695999991</v>
      </c>
      <c r="F969" s="2">
        <f>Table1[[#This Row],[Quantity_Sold]] * ((Table1[[#This Row],[Unit_Price]] * (1 - (Table1[[#This Row],[Discount]] / 100))) - Table1[[#This Row],[Unit_Cost]])</f>
        <v>5976.545696000002</v>
      </c>
      <c r="G969" s="3">
        <v>44</v>
      </c>
      <c r="H969" t="s">
        <v>16</v>
      </c>
      <c r="I969">
        <v>1393.58</v>
      </c>
      <c r="J969" s="2">
        <v>1533.09</v>
      </c>
      <c r="K969" t="s">
        <v>17</v>
      </c>
      <c r="L969" s="4">
        <v>0.24</v>
      </c>
      <c r="M969" t="s">
        <v>31</v>
      </c>
      <c r="N969" t="s">
        <v>22</v>
      </c>
      <c r="O969" t="s">
        <v>40</v>
      </c>
    </row>
    <row r="970" spans="1:15" x14ac:dyDescent="0.25">
      <c r="A970" s="3">
        <v>1026</v>
      </c>
      <c r="B970" s="1">
        <v>44963</v>
      </c>
      <c r="C970" t="s">
        <v>14</v>
      </c>
      <c r="D970" t="s">
        <v>21</v>
      </c>
      <c r="E970" s="2">
        <f>Table1[[#This Row],[Quantity_Sold]] * Table1[[#This Row],[Unit_Price]] * (1 - (Table1[[#This Row],[Discount]] / 100))</f>
        <v>7447.2302559999662</v>
      </c>
      <c r="F970" s="2">
        <f>Table1[[#This Row],[Quantity_Sold]] * ((Table1[[#This Row],[Unit_Price]] * (1 - (Table1[[#This Row],[Discount]] / 100))) - Table1[[#This Row],[Unit_Cost]])</f>
        <v>5124.010255999965</v>
      </c>
      <c r="G970" s="3">
        <v>34</v>
      </c>
      <c r="H970" t="s">
        <v>35</v>
      </c>
      <c r="I970">
        <v>68.33</v>
      </c>
      <c r="J970" s="2">
        <v>219.07999999999899</v>
      </c>
      <c r="K970" t="s">
        <v>30</v>
      </c>
      <c r="L970" s="4">
        <v>0.02</v>
      </c>
      <c r="M970" t="s">
        <v>31</v>
      </c>
      <c r="N970" t="s">
        <v>19</v>
      </c>
      <c r="O970" t="s">
        <v>23</v>
      </c>
    </row>
    <row r="971" spans="1:15" x14ac:dyDescent="0.25">
      <c r="A971" s="3">
        <v>1014</v>
      </c>
      <c r="B971" s="1">
        <v>45278</v>
      </c>
      <c r="C971" t="s">
        <v>24</v>
      </c>
      <c r="D971" t="s">
        <v>34</v>
      </c>
      <c r="E971" s="2">
        <f>Table1[[#This Row],[Quantity_Sold]] * Table1[[#This Row],[Unit_Price]] * (1 - (Table1[[#This Row],[Discount]] / 100))</f>
        <v>4450.2536960000007</v>
      </c>
      <c r="F971" s="2">
        <f>Table1[[#This Row],[Quantity_Sold]] * ((Table1[[#This Row],[Unit_Price]] * (1 - (Table1[[#This Row],[Discount]] / 100))) - Table1[[#This Row],[Unit_Cost]])</f>
        <v>1031.5336960000009</v>
      </c>
      <c r="G971" s="3">
        <v>4</v>
      </c>
      <c r="H971" t="s">
        <v>16</v>
      </c>
      <c r="I971">
        <v>854.68</v>
      </c>
      <c r="J971" s="2">
        <v>1115.24</v>
      </c>
      <c r="K971" t="s">
        <v>30</v>
      </c>
      <c r="L971" s="4">
        <v>0.24</v>
      </c>
      <c r="M971" t="s">
        <v>31</v>
      </c>
      <c r="N971" t="s">
        <v>22</v>
      </c>
      <c r="O971" t="s">
        <v>50</v>
      </c>
    </row>
    <row r="972" spans="1:15" x14ac:dyDescent="0.25">
      <c r="A972" s="3">
        <v>1059</v>
      </c>
      <c r="B972" s="1">
        <v>45238</v>
      </c>
      <c r="C972" t="s">
        <v>24</v>
      </c>
      <c r="D972" t="s">
        <v>25</v>
      </c>
      <c r="E972" s="2">
        <f>Table1[[#This Row],[Quantity_Sold]] * Table1[[#This Row],[Unit_Price]] * (1 - (Table1[[#This Row],[Discount]] / 100))</f>
        <v>37096.411789999998</v>
      </c>
      <c r="F972" s="2">
        <f>Table1[[#This Row],[Quantity_Sold]] * ((Table1[[#This Row],[Unit_Price]] * (1 - (Table1[[#This Row],[Discount]] / 100))) - Table1[[#This Row],[Unit_Cost]])</f>
        <v>6834.0317900000045</v>
      </c>
      <c r="G972" s="3">
        <v>17</v>
      </c>
      <c r="H972" t="s">
        <v>29</v>
      </c>
      <c r="I972">
        <v>1780.14</v>
      </c>
      <c r="J972" s="2">
        <v>2185.42</v>
      </c>
      <c r="K972" t="s">
        <v>17</v>
      </c>
      <c r="L972" s="4">
        <v>0.15</v>
      </c>
      <c r="M972" t="s">
        <v>31</v>
      </c>
      <c r="N972" t="s">
        <v>22</v>
      </c>
      <c r="O972" t="s">
        <v>28</v>
      </c>
    </row>
    <row r="973" spans="1:15" x14ac:dyDescent="0.25">
      <c r="A973" s="3">
        <v>1056</v>
      </c>
      <c r="B973" s="1">
        <v>45287</v>
      </c>
      <c r="C973" t="s">
        <v>14</v>
      </c>
      <c r="D973" t="s">
        <v>34</v>
      </c>
      <c r="E973" s="2">
        <f>Table1[[#This Row],[Quantity_Sold]] * Table1[[#This Row],[Unit_Price]] * (1 - (Table1[[#This Row],[Discount]] / 100))</f>
        <v>6586.3644000000004</v>
      </c>
      <c r="F973" s="2">
        <f>Table1[[#This Row],[Quantity_Sold]] * ((Table1[[#This Row],[Unit_Price]] * (1 - (Table1[[#This Row],[Discount]] / 100))) - Table1[[#This Row],[Unit_Cost]])</f>
        <v>135.08440000000064</v>
      </c>
      <c r="G973" s="3">
        <v>4</v>
      </c>
      <c r="H973" t="s">
        <v>26</v>
      </c>
      <c r="I973">
        <v>1612.82</v>
      </c>
      <c r="J973" s="2">
        <v>1647.25</v>
      </c>
      <c r="K973" t="s">
        <v>17</v>
      </c>
      <c r="L973" s="4">
        <v>0.04</v>
      </c>
      <c r="M973" t="s">
        <v>31</v>
      </c>
      <c r="N973" t="s">
        <v>22</v>
      </c>
      <c r="O973" t="s">
        <v>46</v>
      </c>
    </row>
    <row r="974" spans="1:15" x14ac:dyDescent="0.25">
      <c r="A974" s="3">
        <v>1007</v>
      </c>
      <c r="B974" s="1">
        <v>44985</v>
      </c>
      <c r="C974" t="s">
        <v>33</v>
      </c>
      <c r="D974" t="s">
        <v>34</v>
      </c>
      <c r="E974" s="2">
        <f>Table1[[#This Row],[Quantity_Sold]] * Table1[[#This Row],[Unit_Price]] * (1 - (Table1[[#This Row],[Discount]] / 100))</f>
        <v>183239.47398799998</v>
      </c>
      <c r="F974" s="2">
        <f>Table1[[#This Row],[Quantity_Sold]] * ((Table1[[#This Row],[Unit_Price]] * (1 - (Table1[[#This Row],[Discount]] / 100))) - Table1[[#This Row],[Unit_Cost]])</f>
        <v>12647.723987999998</v>
      </c>
      <c r="G974" s="3">
        <v>43</v>
      </c>
      <c r="H974" t="s">
        <v>16</v>
      </c>
      <c r="I974">
        <v>3967.25</v>
      </c>
      <c r="J974" s="2">
        <v>4272.92</v>
      </c>
      <c r="K974" t="s">
        <v>30</v>
      </c>
      <c r="L974" s="4">
        <v>0.27</v>
      </c>
      <c r="M974" t="s">
        <v>31</v>
      </c>
      <c r="N974" t="s">
        <v>19</v>
      </c>
      <c r="O974" t="s">
        <v>36</v>
      </c>
    </row>
    <row r="975" spans="1:15" x14ac:dyDescent="0.25">
      <c r="A975" s="3">
        <v>1003</v>
      </c>
      <c r="B975" s="1">
        <v>45057</v>
      </c>
      <c r="C975" t="s">
        <v>33</v>
      </c>
      <c r="D975" t="s">
        <v>15</v>
      </c>
      <c r="E975" s="2">
        <f>Table1[[#This Row],[Quantity_Sold]] * Table1[[#This Row],[Unit_Price]] * (1 - (Table1[[#This Row],[Discount]] / 100))</f>
        <v>99237.689459999994</v>
      </c>
      <c r="F975" s="2">
        <f>Table1[[#This Row],[Quantity_Sold]] * ((Table1[[#This Row],[Unit_Price]] * (1 - (Table1[[#This Row],[Discount]] / 100))) - Table1[[#This Row],[Unit_Cost]])</f>
        <v>10349.409459999995</v>
      </c>
      <c r="G975" s="3">
        <v>26</v>
      </c>
      <c r="H975" t="s">
        <v>35</v>
      </c>
      <c r="I975">
        <v>3418.78</v>
      </c>
      <c r="J975" s="2">
        <v>3824.1</v>
      </c>
      <c r="K975" t="s">
        <v>30</v>
      </c>
      <c r="L975" s="4">
        <v>0.19</v>
      </c>
      <c r="M975" t="s">
        <v>31</v>
      </c>
      <c r="N975" t="s">
        <v>19</v>
      </c>
      <c r="O975" t="s">
        <v>53</v>
      </c>
    </row>
    <row r="976" spans="1:15" x14ac:dyDescent="0.25">
      <c r="A976" s="3">
        <v>1023</v>
      </c>
      <c r="B976" s="1">
        <v>45128</v>
      </c>
      <c r="C976" t="s">
        <v>38</v>
      </c>
      <c r="D976" t="s">
        <v>15</v>
      </c>
      <c r="E976" s="2">
        <f>Table1[[#This Row],[Quantity_Sold]] * Table1[[#This Row],[Unit_Price]] * (1 - (Table1[[#This Row],[Discount]] / 100))</f>
        <v>6475.5206200000002</v>
      </c>
      <c r="F976" s="2">
        <f>Table1[[#This Row],[Quantity_Sold]] * ((Table1[[#This Row],[Unit_Price]] * (1 - (Table1[[#This Row],[Discount]] / 100))) - Table1[[#This Row],[Unit_Cost]])</f>
        <v>344.32062000000042</v>
      </c>
      <c r="G976" s="3">
        <v>4</v>
      </c>
      <c r="H976" t="s">
        <v>29</v>
      </c>
      <c r="I976">
        <v>1532.8</v>
      </c>
      <c r="J976" s="2">
        <v>1619.69</v>
      </c>
      <c r="K976" t="s">
        <v>17</v>
      </c>
      <c r="L976" s="4">
        <v>0.05</v>
      </c>
      <c r="M976" t="s">
        <v>27</v>
      </c>
      <c r="N976" t="s">
        <v>22</v>
      </c>
      <c r="O976" t="s">
        <v>40</v>
      </c>
    </row>
    <row r="977" spans="1:15" x14ac:dyDescent="0.25">
      <c r="A977" s="3">
        <v>1018</v>
      </c>
      <c r="B977" s="1">
        <v>45169</v>
      </c>
      <c r="C977" t="s">
        <v>42</v>
      </c>
      <c r="D977" t="s">
        <v>34</v>
      </c>
      <c r="E977" s="2">
        <f>Table1[[#This Row],[Quantity_Sold]] * Table1[[#This Row],[Unit_Price]] * (1 - (Table1[[#This Row],[Discount]] / 100))</f>
        <v>2332.9566810000001</v>
      </c>
      <c r="F977" s="2">
        <f>Table1[[#This Row],[Quantity_Sold]] * ((Table1[[#This Row],[Unit_Price]] * (1 - (Table1[[#This Row],[Discount]] / 100))) - Table1[[#This Row],[Unit_Cost]])</f>
        <v>17.12668100000019</v>
      </c>
      <c r="G977" s="3">
        <v>1</v>
      </c>
      <c r="H977" t="s">
        <v>35</v>
      </c>
      <c r="I977">
        <v>2315.83</v>
      </c>
      <c r="J977" s="2">
        <v>2333.19</v>
      </c>
      <c r="K977" t="s">
        <v>30</v>
      </c>
      <c r="L977" s="4">
        <v>0.01</v>
      </c>
      <c r="M977" t="s">
        <v>18</v>
      </c>
      <c r="N977" t="s">
        <v>22</v>
      </c>
      <c r="O977" t="s">
        <v>52</v>
      </c>
    </row>
    <row r="978" spans="1:15" x14ac:dyDescent="0.25">
      <c r="A978" s="3">
        <v>1038</v>
      </c>
      <c r="B978" s="1">
        <v>44961</v>
      </c>
      <c r="C978" t="s">
        <v>33</v>
      </c>
      <c r="D978" t="s">
        <v>15</v>
      </c>
      <c r="E978" s="2">
        <f>Table1[[#This Row],[Quantity_Sold]] * Table1[[#This Row],[Unit_Price]] * (1 - (Table1[[#This Row],[Discount]] / 100))</f>
        <v>4801.8285000000005</v>
      </c>
      <c r="F978" s="2">
        <f>Table1[[#This Row],[Quantity_Sold]] * ((Table1[[#This Row],[Unit_Price]] * (1 - (Table1[[#This Row],[Discount]] / 100))) - Table1[[#This Row],[Unit_Cost]])</f>
        <v>1140.6885000000002</v>
      </c>
      <c r="G978" s="3">
        <v>7</v>
      </c>
      <c r="H978" t="s">
        <v>16</v>
      </c>
      <c r="I978">
        <v>523.02</v>
      </c>
      <c r="J978" s="2">
        <v>686.25</v>
      </c>
      <c r="K978" t="s">
        <v>17</v>
      </c>
      <c r="L978" s="4">
        <v>0.04</v>
      </c>
      <c r="M978" t="s">
        <v>18</v>
      </c>
      <c r="N978" t="s">
        <v>19</v>
      </c>
      <c r="O978" t="s">
        <v>53</v>
      </c>
    </row>
    <row r="979" spans="1:15" x14ac:dyDescent="0.25">
      <c r="A979" s="3">
        <v>1099</v>
      </c>
      <c r="B979" s="1">
        <v>45019</v>
      </c>
      <c r="C979" t="s">
        <v>42</v>
      </c>
      <c r="D979" t="s">
        <v>15</v>
      </c>
      <c r="E979" s="2">
        <f>Table1[[#This Row],[Quantity_Sold]] * Table1[[#This Row],[Unit_Price]] * (1 - (Table1[[#This Row],[Discount]] / 100))</f>
        <v>143561.4234599997</v>
      </c>
      <c r="F979" s="2">
        <f>Table1[[#This Row],[Quantity_Sold]] * ((Table1[[#This Row],[Unit_Price]] * (1 - (Table1[[#This Row],[Discount]] / 100))) - Table1[[#This Row],[Unit_Cost]])</f>
        <v>8686.823459999714</v>
      </c>
      <c r="G979" s="3">
        <v>30</v>
      </c>
      <c r="H979" t="s">
        <v>16</v>
      </c>
      <c r="I979">
        <v>4495.82</v>
      </c>
      <c r="J979" s="2">
        <v>4794.0099999999902</v>
      </c>
      <c r="K979" t="s">
        <v>30</v>
      </c>
      <c r="L979" s="4">
        <v>0.18</v>
      </c>
      <c r="M979" t="s">
        <v>27</v>
      </c>
      <c r="N979" t="s">
        <v>22</v>
      </c>
      <c r="O979" t="s">
        <v>49</v>
      </c>
    </row>
    <row r="980" spans="1:15" x14ac:dyDescent="0.25">
      <c r="A980" s="3">
        <v>1015</v>
      </c>
      <c r="B980" s="1">
        <v>45133</v>
      </c>
      <c r="C980" t="s">
        <v>24</v>
      </c>
      <c r="D980" t="s">
        <v>15</v>
      </c>
      <c r="E980" s="2">
        <f>Table1[[#This Row],[Quantity_Sold]] * Table1[[#This Row],[Unit_Price]] * (1 - (Table1[[#This Row],[Discount]] / 100))</f>
        <v>42801.578504999998</v>
      </c>
      <c r="F980" s="2">
        <f>Table1[[#This Row],[Quantity_Sold]] * ((Table1[[#This Row],[Unit_Price]] * (1 - (Table1[[#This Row],[Discount]] / 100))) - Table1[[#This Row],[Unit_Cost]])</f>
        <v>678.42850499999895</v>
      </c>
      <c r="G980" s="3">
        <v>9</v>
      </c>
      <c r="H980" t="s">
        <v>35</v>
      </c>
      <c r="I980">
        <v>4680.3500000000004</v>
      </c>
      <c r="J980" s="2">
        <v>4758.1099999999997</v>
      </c>
      <c r="K980" t="s">
        <v>17</v>
      </c>
      <c r="L980" s="4">
        <v>0.05</v>
      </c>
      <c r="M980" t="s">
        <v>27</v>
      </c>
      <c r="N980" t="s">
        <v>19</v>
      </c>
      <c r="O980" t="s">
        <v>45</v>
      </c>
    </row>
    <row r="981" spans="1:15" x14ac:dyDescent="0.25">
      <c r="A981" s="3">
        <v>1064</v>
      </c>
      <c r="B981" s="1">
        <v>45279</v>
      </c>
      <c r="C981" t="s">
        <v>42</v>
      </c>
      <c r="D981" t="s">
        <v>21</v>
      </c>
      <c r="E981" s="2">
        <f>Table1[[#This Row],[Quantity_Sold]] * Table1[[#This Row],[Unit_Price]] * (1 - (Table1[[#This Row],[Discount]] / 100))</f>
        <v>179033.63866499998</v>
      </c>
      <c r="F981" s="2">
        <f>Table1[[#This Row],[Quantity_Sold]] * ((Table1[[#This Row],[Unit_Price]] * (1 - (Table1[[#This Row],[Discount]] / 100))) - Table1[[#This Row],[Unit_Cost]])</f>
        <v>7532.5886650000075</v>
      </c>
      <c r="G981" s="3">
        <v>35</v>
      </c>
      <c r="H981" t="s">
        <v>29</v>
      </c>
      <c r="I981">
        <v>4900.03</v>
      </c>
      <c r="J981" s="2">
        <v>5118.83</v>
      </c>
      <c r="K981" t="s">
        <v>17</v>
      </c>
      <c r="L981" s="4">
        <v>7.0000000000000007E-2</v>
      </c>
      <c r="M981" t="s">
        <v>31</v>
      </c>
      <c r="N981" t="s">
        <v>22</v>
      </c>
      <c r="O981" t="s">
        <v>51</v>
      </c>
    </row>
    <row r="982" spans="1:15" x14ac:dyDescent="0.25">
      <c r="A982" s="3">
        <v>1089</v>
      </c>
      <c r="B982" s="1">
        <v>45258</v>
      </c>
      <c r="C982" t="s">
        <v>24</v>
      </c>
      <c r="D982" t="s">
        <v>21</v>
      </c>
      <c r="E982" s="2">
        <f>Table1[[#This Row],[Quantity_Sold]] * Table1[[#This Row],[Unit_Price]] * (1 - (Table1[[#This Row],[Discount]] / 100))</f>
        <v>37036.136015999997</v>
      </c>
      <c r="F982" s="2">
        <f>Table1[[#This Row],[Quantity_Sold]] * ((Table1[[#This Row],[Unit_Price]] * (1 - (Table1[[#This Row],[Discount]] / 100))) - Table1[[#This Row],[Unit_Cost]])</f>
        <v>2241.4160159999956</v>
      </c>
      <c r="G982" s="3">
        <v>8</v>
      </c>
      <c r="H982" t="s">
        <v>16</v>
      </c>
      <c r="I982">
        <v>4349.34</v>
      </c>
      <c r="J982" s="2">
        <v>4629.9799999999996</v>
      </c>
      <c r="K982" t="s">
        <v>17</v>
      </c>
      <c r="L982" s="4">
        <v>0.01</v>
      </c>
      <c r="M982" t="s">
        <v>31</v>
      </c>
      <c r="N982" t="s">
        <v>19</v>
      </c>
      <c r="O982" t="s">
        <v>47</v>
      </c>
    </row>
    <row r="983" spans="1:15" x14ac:dyDescent="0.25">
      <c r="A983" s="3">
        <v>1028</v>
      </c>
      <c r="B983" s="1">
        <v>45231</v>
      </c>
      <c r="C983" t="s">
        <v>14</v>
      </c>
      <c r="D983" t="s">
        <v>34</v>
      </c>
      <c r="E983" s="2">
        <f>Table1[[#This Row],[Quantity_Sold]] * Table1[[#This Row],[Unit_Price]] * (1 - (Table1[[#This Row],[Discount]] / 100))</f>
        <v>29085.311232</v>
      </c>
      <c r="F983" s="2">
        <f>Table1[[#This Row],[Quantity_Sold]] * ((Table1[[#This Row],[Unit_Price]] * (1 - (Table1[[#This Row],[Discount]] / 100))) - Table1[[#This Row],[Unit_Cost]])</f>
        <v>7218.6712319999997</v>
      </c>
      <c r="G983" s="3">
        <v>24</v>
      </c>
      <c r="H983" t="s">
        <v>26</v>
      </c>
      <c r="I983">
        <v>911.11</v>
      </c>
      <c r="J983" s="2">
        <v>1214.56</v>
      </c>
      <c r="K983" t="s">
        <v>30</v>
      </c>
      <c r="L983" s="4">
        <v>0.22</v>
      </c>
      <c r="M983" t="s">
        <v>27</v>
      </c>
      <c r="N983" t="s">
        <v>19</v>
      </c>
      <c r="O983" t="s">
        <v>46</v>
      </c>
    </row>
    <row r="984" spans="1:15" x14ac:dyDescent="0.25">
      <c r="A984" s="3">
        <v>1074</v>
      </c>
      <c r="B984" s="1">
        <v>45276</v>
      </c>
      <c r="C984" t="s">
        <v>14</v>
      </c>
      <c r="D984" t="s">
        <v>15</v>
      </c>
      <c r="E984" s="2">
        <f>Table1[[#This Row],[Quantity_Sold]] * Table1[[#This Row],[Unit_Price]] * (1 - (Table1[[#This Row],[Discount]] / 100))</f>
        <v>8020.1752720000004</v>
      </c>
      <c r="F984" s="2">
        <f>Table1[[#This Row],[Quantity_Sold]] * ((Table1[[#This Row],[Unit_Price]] * (1 - (Table1[[#This Row],[Discount]] / 100))) - Table1[[#This Row],[Unit_Cost]])</f>
        <v>2725.4452719999995</v>
      </c>
      <c r="G984" s="3">
        <v>19</v>
      </c>
      <c r="H984" t="s">
        <v>16</v>
      </c>
      <c r="I984">
        <v>278.67</v>
      </c>
      <c r="J984" s="2">
        <v>423.13</v>
      </c>
      <c r="K984" t="s">
        <v>30</v>
      </c>
      <c r="L984" s="4">
        <v>0.24</v>
      </c>
      <c r="M984" t="s">
        <v>31</v>
      </c>
      <c r="N984" t="s">
        <v>19</v>
      </c>
      <c r="O984" t="s">
        <v>20</v>
      </c>
    </row>
    <row r="985" spans="1:15" x14ac:dyDescent="0.25">
      <c r="A985" s="3">
        <v>1039</v>
      </c>
      <c r="B985" s="1">
        <v>45139</v>
      </c>
      <c r="C985" t="s">
        <v>38</v>
      </c>
      <c r="D985" t="s">
        <v>21</v>
      </c>
      <c r="E985" s="2">
        <f>Table1[[#This Row],[Quantity_Sold]] * Table1[[#This Row],[Unit_Price]] * (1 - (Table1[[#This Row],[Discount]] / 100))</f>
        <v>112230.35913600001</v>
      </c>
      <c r="F985" s="2">
        <f>Table1[[#This Row],[Quantity_Sold]] * ((Table1[[#This Row],[Unit_Price]] * (1 - (Table1[[#This Row],[Discount]] / 100))) - Table1[[#This Row],[Unit_Cost]])</f>
        <v>7146.35913600001</v>
      </c>
      <c r="G985" s="3">
        <v>36</v>
      </c>
      <c r="H985" t="s">
        <v>29</v>
      </c>
      <c r="I985">
        <v>2919</v>
      </c>
      <c r="J985" s="2">
        <v>3125.01</v>
      </c>
      <c r="K985" t="s">
        <v>30</v>
      </c>
      <c r="L985" s="4">
        <v>0.24</v>
      </c>
      <c r="M985" t="s">
        <v>18</v>
      </c>
      <c r="N985" t="s">
        <v>19</v>
      </c>
      <c r="O985" t="s">
        <v>41</v>
      </c>
    </row>
    <row r="986" spans="1:15" x14ac:dyDescent="0.25">
      <c r="A986" s="3">
        <v>1057</v>
      </c>
      <c r="B986" s="1">
        <v>45085</v>
      </c>
      <c r="C986" t="s">
        <v>33</v>
      </c>
      <c r="D986" t="s">
        <v>34</v>
      </c>
      <c r="E986" s="2">
        <f>Table1[[#This Row],[Quantity_Sold]] * Table1[[#This Row],[Unit_Price]] * (1 - (Table1[[#This Row],[Discount]] / 100))</f>
        <v>213142.24898399998</v>
      </c>
      <c r="F986" s="2">
        <f>Table1[[#This Row],[Quantity_Sold]] * ((Table1[[#This Row],[Unit_Price]] * (1 - (Table1[[#This Row],[Discount]] / 100))) - Table1[[#This Row],[Unit_Cost]])</f>
        <v>16744.478983999983</v>
      </c>
      <c r="G986" s="3">
        <v>43</v>
      </c>
      <c r="H986" t="s">
        <v>16</v>
      </c>
      <c r="I986">
        <v>4567.3900000000003</v>
      </c>
      <c r="J986" s="2">
        <v>4958.78</v>
      </c>
      <c r="K986" t="s">
        <v>30</v>
      </c>
      <c r="L986" s="4">
        <v>0.04</v>
      </c>
      <c r="M986" t="s">
        <v>18</v>
      </c>
      <c r="N986" t="s">
        <v>22</v>
      </c>
      <c r="O986" t="s">
        <v>36</v>
      </c>
    </row>
    <row r="987" spans="1:15" x14ac:dyDescent="0.25">
      <c r="A987" s="3">
        <v>1017</v>
      </c>
      <c r="B987" s="1">
        <v>44950</v>
      </c>
      <c r="C987" t="s">
        <v>38</v>
      </c>
      <c r="D987" t="s">
        <v>15</v>
      </c>
      <c r="E987" s="2">
        <f>Table1[[#This Row],[Quantity_Sold]] * Table1[[#This Row],[Unit_Price]] * (1 - (Table1[[#This Row],[Discount]] / 100))</f>
        <v>37673.436339</v>
      </c>
      <c r="F987" s="2">
        <f>Table1[[#This Row],[Quantity_Sold]] * ((Table1[[#This Row],[Unit_Price]] * (1 - (Table1[[#This Row],[Discount]] / 100))) - Table1[[#This Row],[Unit_Cost]])</f>
        <v>12620.406338999994</v>
      </c>
      <c r="G987" s="3">
        <v>27</v>
      </c>
      <c r="H987" t="s">
        <v>35</v>
      </c>
      <c r="I987">
        <v>927.89</v>
      </c>
      <c r="J987" s="2">
        <v>1399.09</v>
      </c>
      <c r="K987" t="s">
        <v>17</v>
      </c>
      <c r="L987" s="4">
        <v>0.27</v>
      </c>
      <c r="M987" t="s">
        <v>31</v>
      </c>
      <c r="N987" t="s">
        <v>19</v>
      </c>
      <c r="O987" t="s">
        <v>40</v>
      </c>
    </row>
    <row r="988" spans="1:15" x14ac:dyDescent="0.25">
      <c r="A988" s="3">
        <v>1086</v>
      </c>
      <c r="B988" s="1">
        <v>45219</v>
      </c>
      <c r="C988" t="s">
        <v>24</v>
      </c>
      <c r="D988" t="s">
        <v>25</v>
      </c>
      <c r="E988" s="2">
        <f>Table1[[#This Row],[Quantity_Sold]] * Table1[[#This Row],[Unit_Price]] * (1 - (Table1[[#This Row],[Discount]] / 100))</f>
        <v>16516.660479999999</v>
      </c>
      <c r="F988" s="2">
        <f>Table1[[#This Row],[Quantity_Sold]] * ((Table1[[#This Row],[Unit_Price]] * (1 - (Table1[[#This Row],[Discount]] / 100))) - Table1[[#This Row],[Unit_Cost]])</f>
        <v>13801.140479999998</v>
      </c>
      <c r="G988" s="3">
        <v>32</v>
      </c>
      <c r="H988" t="s">
        <v>16</v>
      </c>
      <c r="I988">
        <v>84.86</v>
      </c>
      <c r="J988" s="2">
        <v>517.17999999999995</v>
      </c>
      <c r="K988" t="s">
        <v>17</v>
      </c>
      <c r="L988" s="4">
        <v>0.2</v>
      </c>
      <c r="M988" t="s">
        <v>31</v>
      </c>
      <c r="N988" t="s">
        <v>22</v>
      </c>
      <c r="O988" t="s">
        <v>28</v>
      </c>
    </row>
    <row r="989" spans="1:15" x14ac:dyDescent="0.25">
      <c r="A989" s="3">
        <v>1090</v>
      </c>
      <c r="B989" s="1">
        <v>44930</v>
      </c>
      <c r="C989" t="s">
        <v>38</v>
      </c>
      <c r="D989" t="s">
        <v>15</v>
      </c>
      <c r="E989" s="2">
        <f>Table1[[#This Row],[Quantity_Sold]] * Table1[[#This Row],[Unit_Price]] * (1 - (Table1[[#This Row],[Discount]] / 100))</f>
        <v>60368.503762</v>
      </c>
      <c r="F989" s="2">
        <f>Table1[[#This Row],[Quantity_Sold]] * ((Table1[[#This Row],[Unit_Price]] * (1 - (Table1[[#This Row],[Discount]] / 100))) - Table1[[#This Row],[Unit_Cost]])</f>
        <v>3847.5637619999961</v>
      </c>
      <c r="G989" s="3">
        <v>14</v>
      </c>
      <c r="H989" t="s">
        <v>16</v>
      </c>
      <c r="I989">
        <v>4037.21</v>
      </c>
      <c r="J989" s="2">
        <v>4323.71</v>
      </c>
      <c r="K989" t="s">
        <v>17</v>
      </c>
      <c r="L989" s="4">
        <v>0.27</v>
      </c>
      <c r="M989" t="s">
        <v>31</v>
      </c>
      <c r="N989" t="s">
        <v>19</v>
      </c>
      <c r="O989" t="s">
        <v>40</v>
      </c>
    </row>
    <row r="990" spans="1:15" x14ac:dyDescent="0.25">
      <c r="A990" s="3">
        <v>1044</v>
      </c>
      <c r="B990" s="1">
        <v>45146</v>
      </c>
      <c r="C990" t="s">
        <v>42</v>
      </c>
      <c r="D990" t="s">
        <v>15</v>
      </c>
      <c r="E990" s="2">
        <f>Table1[[#This Row],[Quantity_Sold]] * Table1[[#This Row],[Unit_Price]] * (1 - (Table1[[#This Row],[Discount]] / 100))</f>
        <v>11526.236387999999</v>
      </c>
      <c r="F990" s="2">
        <f>Table1[[#This Row],[Quantity_Sold]] * ((Table1[[#This Row],[Unit_Price]] * (1 - (Table1[[#This Row],[Discount]] / 100))) - Table1[[#This Row],[Unit_Cost]])</f>
        <v>3783.7163879999998</v>
      </c>
      <c r="G990" s="3">
        <v>18</v>
      </c>
      <c r="H990" t="s">
        <v>29</v>
      </c>
      <c r="I990">
        <v>430.14</v>
      </c>
      <c r="J990" s="2">
        <v>641.17999999999995</v>
      </c>
      <c r="K990" t="s">
        <v>30</v>
      </c>
      <c r="L990" s="4">
        <v>0.13</v>
      </c>
      <c r="M990" t="s">
        <v>18</v>
      </c>
      <c r="N990" t="s">
        <v>19</v>
      </c>
      <c r="O990" t="s">
        <v>49</v>
      </c>
    </row>
    <row r="991" spans="1:15" x14ac:dyDescent="0.25">
      <c r="A991" s="3">
        <v>1025</v>
      </c>
      <c r="B991" s="1">
        <v>45290</v>
      </c>
      <c r="C991" t="s">
        <v>24</v>
      </c>
      <c r="D991" t="s">
        <v>21</v>
      </c>
      <c r="E991" s="2">
        <f>Table1[[#This Row],[Quantity_Sold]] * Table1[[#This Row],[Unit_Price]] * (1 - (Table1[[#This Row],[Discount]] / 100))</f>
        <v>63505.055963999999</v>
      </c>
      <c r="F991" s="2">
        <f>Table1[[#This Row],[Quantity_Sold]] * ((Table1[[#This Row],[Unit_Price]] * (1 - (Table1[[#This Row],[Discount]] / 100))) - Table1[[#This Row],[Unit_Cost]])</f>
        <v>4765.5359639999879</v>
      </c>
      <c r="G991" s="3">
        <v>28</v>
      </c>
      <c r="H991" t="s">
        <v>35</v>
      </c>
      <c r="I991">
        <v>2097.84</v>
      </c>
      <c r="J991" s="2">
        <v>2270.9899999999998</v>
      </c>
      <c r="K991" t="s">
        <v>30</v>
      </c>
      <c r="L991" s="4">
        <v>0.13</v>
      </c>
      <c r="M991" t="s">
        <v>31</v>
      </c>
      <c r="N991" t="s">
        <v>22</v>
      </c>
      <c r="O991" t="s">
        <v>47</v>
      </c>
    </row>
    <row r="992" spans="1:15" x14ac:dyDescent="0.25">
      <c r="A992" s="3">
        <v>1017</v>
      </c>
      <c r="B992" s="1">
        <v>44946</v>
      </c>
      <c r="C992" t="s">
        <v>14</v>
      </c>
      <c r="D992" t="s">
        <v>34</v>
      </c>
      <c r="E992" s="2">
        <f>Table1[[#This Row],[Quantity_Sold]] * Table1[[#This Row],[Unit_Price]] * (1 - (Table1[[#This Row],[Discount]] / 100))</f>
        <v>100727.55228799999</v>
      </c>
      <c r="F992" s="2">
        <f>Table1[[#This Row],[Quantity_Sold]] * ((Table1[[#This Row],[Unit_Price]] * (1 - (Table1[[#This Row],[Discount]] / 100))) - Table1[[#This Row],[Unit_Cost]])</f>
        <v>1823.3422880000035</v>
      </c>
      <c r="G992" s="3">
        <v>29</v>
      </c>
      <c r="H992" t="s">
        <v>29</v>
      </c>
      <c r="I992">
        <v>3410.49</v>
      </c>
      <c r="J992" s="2">
        <v>3481.72</v>
      </c>
      <c r="K992" t="s">
        <v>30</v>
      </c>
      <c r="L992" s="4">
        <v>0.24</v>
      </c>
      <c r="M992" t="s">
        <v>27</v>
      </c>
      <c r="N992" t="s">
        <v>22</v>
      </c>
      <c r="O992" t="s">
        <v>46</v>
      </c>
    </row>
    <row r="993" spans="1:15" x14ac:dyDescent="0.25">
      <c r="A993" s="3">
        <v>1013</v>
      </c>
      <c r="B993" s="1">
        <v>45078</v>
      </c>
      <c r="C993" t="s">
        <v>33</v>
      </c>
      <c r="D993" t="s">
        <v>34</v>
      </c>
      <c r="E993" s="2">
        <f>Table1[[#This Row],[Quantity_Sold]] * Table1[[#This Row],[Unit_Price]] * (1 - (Table1[[#This Row],[Discount]] / 100))</f>
        <v>20543.595072</v>
      </c>
      <c r="F993" s="2">
        <f>Table1[[#This Row],[Quantity_Sold]] * ((Table1[[#This Row],[Unit_Price]] * (1 - (Table1[[#This Row],[Discount]] / 100))) - Table1[[#This Row],[Unit_Cost]])</f>
        <v>989.19507199999862</v>
      </c>
      <c r="G993" s="3">
        <v>16</v>
      </c>
      <c r="H993" t="s">
        <v>16</v>
      </c>
      <c r="I993">
        <v>1222.1500000000001</v>
      </c>
      <c r="J993" s="2">
        <v>1284.3599999999999</v>
      </c>
      <c r="K993" t="s">
        <v>17</v>
      </c>
      <c r="L993" s="4">
        <v>0.03</v>
      </c>
      <c r="M993" t="s">
        <v>31</v>
      </c>
      <c r="N993" t="s">
        <v>22</v>
      </c>
      <c r="O993" t="s">
        <v>36</v>
      </c>
    </row>
    <row r="994" spans="1:15" x14ac:dyDescent="0.25">
      <c r="A994" s="3">
        <v>1084</v>
      </c>
      <c r="B994" s="1">
        <v>44976</v>
      </c>
      <c r="C994" t="s">
        <v>24</v>
      </c>
      <c r="D994" t="s">
        <v>21</v>
      </c>
      <c r="E994" s="2">
        <f>Table1[[#This Row],[Quantity_Sold]] * Table1[[#This Row],[Unit_Price]] * (1 - (Table1[[#This Row],[Discount]] / 100))</f>
        <v>28406.327039999996</v>
      </c>
      <c r="F994" s="2">
        <f>Table1[[#This Row],[Quantity_Sold]] * ((Table1[[#This Row],[Unit_Price]] * (1 - (Table1[[#This Row],[Discount]] / 100))) - Table1[[#This Row],[Unit_Cost]])</f>
        <v>12109.977039999998</v>
      </c>
      <c r="G994" s="3">
        <v>35</v>
      </c>
      <c r="H994" t="s">
        <v>26</v>
      </c>
      <c r="I994">
        <v>465.61</v>
      </c>
      <c r="J994" s="2">
        <v>812.91</v>
      </c>
      <c r="K994" t="s">
        <v>30</v>
      </c>
      <c r="L994" s="4">
        <v>0.16</v>
      </c>
      <c r="M994" t="s">
        <v>27</v>
      </c>
      <c r="N994" t="s">
        <v>19</v>
      </c>
      <c r="O994" t="s">
        <v>47</v>
      </c>
    </row>
    <row r="995" spans="1:15" x14ac:dyDescent="0.25">
      <c r="A995" s="3">
        <v>1025</v>
      </c>
      <c r="B995" s="1">
        <v>45103</v>
      </c>
      <c r="C995" t="s">
        <v>24</v>
      </c>
      <c r="D995" t="s">
        <v>15</v>
      </c>
      <c r="E995" s="2">
        <f>Table1[[#This Row],[Quantity_Sold]] * Table1[[#This Row],[Unit_Price]] * (1 - (Table1[[#This Row],[Discount]] / 100))</f>
        <v>187478.898075</v>
      </c>
      <c r="F995" s="2">
        <f>Table1[[#This Row],[Quantity_Sold]] * ((Table1[[#This Row],[Unit_Price]] * (1 - (Table1[[#This Row],[Discount]] / 100))) - Table1[[#This Row],[Unit_Cost]])</f>
        <v>5983.2280750000009</v>
      </c>
      <c r="G995" s="3">
        <v>47</v>
      </c>
      <c r="H995" t="s">
        <v>16</v>
      </c>
      <c r="I995">
        <v>3861.61</v>
      </c>
      <c r="J995" s="2">
        <v>3998.91</v>
      </c>
      <c r="K995" t="s">
        <v>30</v>
      </c>
      <c r="L995" s="4">
        <v>0.25</v>
      </c>
      <c r="M995" t="s">
        <v>31</v>
      </c>
      <c r="N995" t="s">
        <v>19</v>
      </c>
      <c r="O995" t="s">
        <v>45</v>
      </c>
    </row>
    <row r="996" spans="1:15" x14ac:dyDescent="0.25">
      <c r="A996" s="3">
        <v>1068</v>
      </c>
      <c r="B996" s="1">
        <v>45022</v>
      </c>
      <c r="C996" t="s">
        <v>42</v>
      </c>
      <c r="D996" t="s">
        <v>25</v>
      </c>
      <c r="E996" s="2">
        <f>Table1[[#This Row],[Quantity_Sold]] * Table1[[#This Row],[Unit_Price]] * (1 - (Table1[[#This Row],[Discount]] / 100))</f>
        <v>102172.57837500001</v>
      </c>
      <c r="F996" s="2">
        <f>Table1[[#This Row],[Quantity_Sold]] * ((Table1[[#This Row],[Unit_Price]] * (1 - (Table1[[#This Row],[Discount]] / 100))) - Table1[[#This Row],[Unit_Cost]])</f>
        <v>3922.1083750000112</v>
      </c>
      <c r="G996" s="3">
        <v>31</v>
      </c>
      <c r="H996" t="s">
        <v>29</v>
      </c>
      <c r="I996">
        <v>3169.37</v>
      </c>
      <c r="J996" s="2">
        <v>3304.15</v>
      </c>
      <c r="K996" t="s">
        <v>17</v>
      </c>
      <c r="L996" s="4">
        <v>0.25</v>
      </c>
      <c r="M996" t="s">
        <v>31</v>
      </c>
      <c r="N996" t="s">
        <v>22</v>
      </c>
      <c r="O996" t="s">
        <v>43</v>
      </c>
    </row>
    <row r="997" spans="1:15" x14ac:dyDescent="0.25">
      <c r="A997" s="3">
        <v>1010</v>
      </c>
      <c r="B997" s="1">
        <v>45031</v>
      </c>
      <c r="C997" t="s">
        <v>33</v>
      </c>
      <c r="D997" t="s">
        <v>15</v>
      </c>
      <c r="E997" s="2">
        <f>Table1[[#This Row],[Quantity_Sold]] * Table1[[#This Row],[Unit_Price]] * (1 - (Table1[[#This Row],[Discount]] / 100))</f>
        <v>21705.47106</v>
      </c>
      <c r="F997" s="2">
        <f>Table1[[#This Row],[Quantity_Sold]] * ((Table1[[#This Row],[Unit_Price]] * (1 - (Table1[[#This Row],[Discount]] / 100))) - Table1[[#This Row],[Unit_Cost]])</f>
        <v>1933.3510600000009</v>
      </c>
      <c r="G997" s="3">
        <v>4</v>
      </c>
      <c r="H997" t="s">
        <v>26</v>
      </c>
      <c r="I997">
        <v>4943.03</v>
      </c>
      <c r="J997" s="2">
        <v>5442.15</v>
      </c>
      <c r="K997" t="s">
        <v>17</v>
      </c>
      <c r="L997" s="4">
        <v>0.28999999999999998</v>
      </c>
      <c r="M997" t="s">
        <v>18</v>
      </c>
      <c r="N997" t="s">
        <v>19</v>
      </c>
      <c r="O997" t="s">
        <v>53</v>
      </c>
    </row>
    <row r="998" spans="1:15" x14ac:dyDescent="0.25">
      <c r="A998" s="3">
        <v>1067</v>
      </c>
      <c r="B998" s="1">
        <v>45176</v>
      </c>
      <c r="C998" t="s">
        <v>14</v>
      </c>
      <c r="D998" t="s">
        <v>15</v>
      </c>
      <c r="E998" s="2">
        <f>Table1[[#This Row],[Quantity_Sold]] * Table1[[#This Row],[Unit_Price]] * (1 - (Table1[[#This Row],[Discount]] / 100))</f>
        <v>68542.557719999633</v>
      </c>
      <c r="F998" s="2">
        <f>Table1[[#This Row],[Quantity_Sold]] * ((Table1[[#This Row],[Unit_Price]] * (1 - (Table1[[#This Row],[Discount]] / 100))) - Table1[[#This Row],[Unit_Cost]])</f>
        <v>3632.7177199996377</v>
      </c>
      <c r="G998" s="3">
        <v>37</v>
      </c>
      <c r="H998" t="s">
        <v>29</v>
      </c>
      <c r="I998">
        <v>1754.32</v>
      </c>
      <c r="J998" s="2">
        <v>1856.3999999999901</v>
      </c>
      <c r="K998" t="s">
        <v>30</v>
      </c>
      <c r="L998" s="4">
        <v>0.21</v>
      </c>
      <c r="M998" t="s">
        <v>27</v>
      </c>
      <c r="N998" t="s">
        <v>22</v>
      </c>
      <c r="O998" t="s">
        <v>20</v>
      </c>
    </row>
    <row r="999" spans="1:15" x14ac:dyDescent="0.25">
      <c r="A999" s="3">
        <v>1018</v>
      </c>
      <c r="B999" s="1">
        <v>45043</v>
      </c>
      <c r="C999" t="s">
        <v>24</v>
      </c>
      <c r="D999" t="s">
        <v>25</v>
      </c>
      <c r="E999" s="2">
        <f>Table1[[#This Row],[Quantity_Sold]] * Table1[[#This Row],[Unit_Price]] * (1 - (Table1[[#This Row],[Discount]] / 100))</f>
        <v>7446.1196460000001</v>
      </c>
      <c r="F999" s="2">
        <f>Table1[[#This Row],[Quantity_Sold]] * ((Table1[[#This Row],[Unit_Price]] * (1 - (Table1[[#This Row],[Discount]] / 100))) - Table1[[#This Row],[Unit_Cost]])</f>
        <v>1398.879645999999</v>
      </c>
      <c r="G999" s="3">
        <v>17</v>
      </c>
      <c r="H999" t="s">
        <v>29</v>
      </c>
      <c r="I999">
        <v>355.72</v>
      </c>
      <c r="J999" s="2">
        <v>438.27</v>
      </c>
      <c r="K999" t="s">
        <v>17</v>
      </c>
      <c r="L999" s="4">
        <v>0.06</v>
      </c>
      <c r="M999" t="s">
        <v>27</v>
      </c>
      <c r="N999" t="s">
        <v>19</v>
      </c>
      <c r="O999" t="s">
        <v>28</v>
      </c>
    </row>
    <row r="1000" spans="1:15" x14ac:dyDescent="0.25">
      <c r="A1000" s="3">
        <v>1100</v>
      </c>
      <c r="B1000" s="1">
        <v>45280</v>
      </c>
      <c r="C1000" t="s">
        <v>24</v>
      </c>
      <c r="D1000" t="s">
        <v>21</v>
      </c>
      <c r="E1000" s="2">
        <f>Table1[[#This Row],[Quantity_Sold]] * Table1[[#This Row],[Unit_Price]] * (1 - (Table1[[#This Row],[Discount]] / 100))</f>
        <v>145977.61077899998</v>
      </c>
      <c r="F1000" s="2">
        <f>Table1[[#This Row],[Quantity_Sold]] * ((Table1[[#This Row],[Unit_Price]] * (1 - (Table1[[#This Row],[Discount]] / 100))) - Table1[[#This Row],[Unit_Cost]])</f>
        <v>2261.4407789999887</v>
      </c>
      <c r="G1000" s="3">
        <v>39</v>
      </c>
      <c r="H1000" t="s">
        <v>35</v>
      </c>
      <c r="I1000">
        <v>3685.03</v>
      </c>
      <c r="J1000" s="2">
        <v>3743.39</v>
      </c>
      <c r="K1000" t="s">
        <v>30</v>
      </c>
      <c r="L1000" s="4">
        <v>0.01</v>
      </c>
      <c r="M1000" t="s">
        <v>27</v>
      </c>
      <c r="N1000" t="s">
        <v>19</v>
      </c>
      <c r="O1000" t="s">
        <v>47</v>
      </c>
    </row>
    <row r="1001" spans="1:15" x14ac:dyDescent="0.25">
      <c r="A1001" s="3">
        <v>1086</v>
      </c>
      <c r="B1001" s="1">
        <v>45154</v>
      </c>
      <c r="C1001" t="s">
        <v>42</v>
      </c>
      <c r="D1001" t="s">
        <v>34</v>
      </c>
      <c r="E1001" s="2">
        <f>Table1[[#This Row],[Quantity_Sold]] * Table1[[#This Row],[Unit_Price]] * (1 - (Table1[[#This Row],[Discount]] / 100))</f>
        <v>140283.96710399998</v>
      </c>
      <c r="F1001" s="2">
        <f>Table1[[#This Row],[Quantity_Sold]] * ((Table1[[#This Row],[Unit_Price]] * (1 - (Table1[[#This Row],[Discount]] / 100))) - Table1[[#This Row],[Unit_Cost]])</f>
        <v>13920.127104000007</v>
      </c>
      <c r="G1001" s="3">
        <v>48</v>
      </c>
      <c r="H1001" t="s">
        <v>26</v>
      </c>
      <c r="I1001">
        <v>2632.58</v>
      </c>
      <c r="J1001" s="2">
        <v>2926.68</v>
      </c>
      <c r="K1001" t="s">
        <v>17</v>
      </c>
      <c r="L1001" s="4">
        <v>0.14000000000000001</v>
      </c>
      <c r="M1001" t="s">
        <v>18</v>
      </c>
      <c r="N1001" t="s">
        <v>19</v>
      </c>
      <c r="O1001" t="s">
        <v>52</v>
      </c>
    </row>
    <row r="1002" spans="1:15" x14ac:dyDescent="0.25">
      <c r="L100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khan</dc:creator>
  <cp:lastModifiedBy>U Khan</cp:lastModifiedBy>
  <dcterms:created xsi:type="dcterms:W3CDTF">2026-06-01T17:25:27Z</dcterms:created>
  <dcterms:modified xsi:type="dcterms:W3CDTF">2026-06-01T18:41:50Z</dcterms:modified>
</cp:coreProperties>
</file>